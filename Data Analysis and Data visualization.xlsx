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MC\Documents\"/>
    </mc:Choice>
  </mc:AlternateContent>
  <xr:revisionPtr revIDLastSave="0" documentId="10_ncr:0_{994B22FA-2FCC-40E8-A678-0F9642C9BC0C}" xr6:coauthVersionLast="36" xr6:coauthVersionMax="36" xr10:uidLastSave="{00000000-0000-0000-0000-000000000000}"/>
  <bookViews>
    <workbookView xWindow="0" yWindow="0" windowWidth="28800" windowHeight="12225" activeTab="2" xr2:uid="{06198BB9-6DE0-4F50-B35D-FA1C8A5B0D26}"/>
  </bookViews>
  <sheets>
    <sheet name="Data set" sheetId="1" r:id="rId1"/>
    <sheet name="Pivot Table" sheetId="3" r:id="rId2"/>
    <sheet name="Dashboard" sheetId="2" r:id="rId3"/>
  </sheets>
  <definedNames>
    <definedName name="NativeTimeline_Date">#N/A</definedName>
    <definedName name="Slicer_Item">#N/A</definedName>
    <definedName name="Slicer_Region">#N/A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4" i="1" l="1"/>
  <c r="H23" i="1"/>
  <c r="H19" i="1"/>
  <c r="H14" i="1"/>
  <c r="H3" i="1"/>
  <c r="H4" i="1"/>
  <c r="H5" i="1"/>
  <c r="H6" i="1"/>
  <c r="H7" i="1"/>
  <c r="H8" i="1"/>
  <c r="H9" i="1"/>
  <c r="H10" i="1"/>
  <c r="H11" i="1"/>
  <c r="H12" i="1"/>
  <c r="H13" i="1"/>
  <c r="H15" i="1"/>
  <c r="H16" i="1"/>
  <c r="H17" i="1"/>
  <c r="H18" i="1"/>
  <c r="H20" i="1"/>
  <c r="H21" i="1"/>
  <c r="H22" i="1"/>
  <c r="H24" i="1"/>
  <c r="H25" i="1"/>
  <c r="H26" i="1"/>
  <c r="H27" i="1"/>
  <c r="H28" i="1"/>
  <c r="H29" i="1"/>
  <c r="H30" i="1"/>
  <c r="H31" i="1"/>
  <c r="H32" i="1"/>
  <c r="H33" i="1"/>
  <c r="H35" i="1"/>
  <c r="H36" i="1"/>
  <c r="H37" i="1"/>
  <c r="H38" i="1"/>
  <c r="H39" i="1"/>
  <c r="H40" i="1"/>
  <c r="H41" i="1"/>
  <c r="H42" i="1"/>
  <c r="H43" i="1"/>
  <c r="H44" i="1"/>
  <c r="H45" i="1"/>
  <c r="H46" i="1"/>
  <c r="H47" i="1"/>
  <c r="H48" i="1"/>
  <c r="H49" i="1"/>
  <c r="H50" i="1"/>
  <c r="H51" i="1"/>
  <c r="H2" i="1"/>
  <c r="R5" i="3"/>
  <c r="R12" i="3"/>
</calcChain>
</file>

<file path=xl/sharedStrings.xml><?xml version="1.0" encoding="utf-8"?>
<sst xmlns="http://schemas.openxmlformats.org/spreadsheetml/2006/main" count="199" uniqueCount="73">
  <si>
    <t>S. NO</t>
  </si>
  <si>
    <t>Date</t>
  </si>
  <si>
    <t>Customre</t>
  </si>
  <si>
    <t>Region</t>
  </si>
  <si>
    <t xml:space="preserve">Item </t>
  </si>
  <si>
    <t>Qty</t>
  </si>
  <si>
    <t>Price</t>
  </si>
  <si>
    <t>Amount</t>
  </si>
  <si>
    <t>Muhammad</t>
  </si>
  <si>
    <t>Olivia</t>
  </si>
  <si>
    <t>Noah</t>
  </si>
  <si>
    <t>Amelia</t>
  </si>
  <si>
    <t>Oliver</t>
  </si>
  <si>
    <t>Isla</t>
  </si>
  <si>
    <t>George</t>
  </si>
  <si>
    <t>Lily</t>
  </si>
  <si>
    <t>Leo</t>
  </si>
  <si>
    <t>Freya</t>
  </si>
  <si>
    <t>Theo</t>
  </si>
  <si>
    <t>Ivy</t>
  </si>
  <si>
    <t>Arthur</t>
  </si>
  <si>
    <t>Freddie</t>
  </si>
  <si>
    <t>Poppy</t>
  </si>
  <si>
    <t>Archie</t>
  </si>
  <si>
    <t>Willow</t>
  </si>
  <si>
    <t>Henry</t>
  </si>
  <si>
    <t>Rosie</t>
  </si>
  <si>
    <t>Oscar</t>
  </si>
  <si>
    <t>Sienna</t>
  </si>
  <si>
    <t>Jude</t>
  </si>
  <si>
    <t>Elsie</t>
  </si>
  <si>
    <t>Alfie</t>
  </si>
  <si>
    <t>Sophia</t>
  </si>
  <si>
    <t>Charlie</t>
  </si>
  <si>
    <t>Mia</t>
  </si>
  <si>
    <t>Jack</t>
  </si>
  <si>
    <t>Arlo</t>
  </si>
  <si>
    <t>Luca</t>
  </si>
  <si>
    <t>Daisy</t>
  </si>
  <si>
    <t>Teddy</t>
  </si>
  <si>
    <t>Evelyn</t>
  </si>
  <si>
    <t>Harry</t>
  </si>
  <si>
    <t>Alice</t>
  </si>
  <si>
    <t>Albie</t>
  </si>
  <si>
    <t>Phoebe</t>
  </si>
  <si>
    <t>Finley</t>
  </si>
  <si>
    <t>Charlotte</t>
  </si>
  <si>
    <t>Jacob</t>
  </si>
  <si>
    <t>Evie</t>
  </si>
  <si>
    <t>Thomas</t>
  </si>
  <si>
    <t>Ada</t>
  </si>
  <si>
    <t>William</t>
  </si>
  <si>
    <t>Isaac</t>
  </si>
  <si>
    <t>Grace</t>
  </si>
  <si>
    <t xml:space="preserve"> Maya</t>
  </si>
  <si>
    <t xml:space="preserve"> Aria</t>
  </si>
  <si>
    <t>lorence</t>
  </si>
  <si>
    <t>North</t>
  </si>
  <si>
    <t>South</t>
  </si>
  <si>
    <t>Eset</t>
  </si>
  <si>
    <t>West</t>
  </si>
  <si>
    <t>Desk Lamp</t>
  </si>
  <si>
    <t>Pen Set</t>
  </si>
  <si>
    <t>Chir</t>
  </si>
  <si>
    <t>Nootbook</t>
  </si>
  <si>
    <t>Charger</t>
  </si>
  <si>
    <t>USB</t>
  </si>
  <si>
    <t>Row Labels</t>
  </si>
  <si>
    <t>Grand Total</t>
  </si>
  <si>
    <t>Jun</t>
  </si>
  <si>
    <t>Jul</t>
  </si>
  <si>
    <t>Sum of Amount</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</si>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</sst>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7" formatCode="mm/dd/yy;@"/>
    <numFmt numFmtId="173" formatCode="_(&quot;$&quot;* #,##0.0_);_(&quot;$&quot;* \(#,##0.0\);_(&quot;$&quot;* &quot;-&quot;??_);_(@_)"/>
  </numFmts>
  <fonts count="4" x14ac:knownFonts="1">
    <font>
      <sz val="11"/>
      <color theme="1"/>
      <name val="Calibri"/>
      <family val="2"/>
      <scheme val="minor"/>
    </font>
    <font>
      <sz val="11"/>
      <color theme="1"/>
      <name val="Calibri"/>
      <family val="2"/>
      <scheme val="minor"/>
    </font>
    <font>
      <b/>
      <sz val="13.5"/>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0" fillId="0" borderId="0" xfId="0" applyAlignment="1">
      <alignment horizontal="left"/>
    </xf>
    <xf numFmtId="167" fontId="0" fillId="0" borderId="0" xfId="0" applyNumberFormat="1"/>
    <xf numFmtId="167" fontId="0" fillId="0" borderId="0" xfId="0" applyNumberFormat="1" applyAlignment="1">
      <alignment horizontal="center"/>
    </xf>
    <xf numFmtId="0" fontId="0" fillId="0" borderId="0" xfId="0" applyAlignment="1">
      <alignment horizontal="center"/>
    </xf>
    <xf numFmtId="0" fontId="0" fillId="0" borderId="0" xfId="0" applyAlignment="1">
      <alignment horizontal="left" vertical="center" indent="1"/>
    </xf>
    <xf numFmtId="0" fontId="2" fillId="0" borderId="0" xfId="0" applyFont="1" applyAlignment="1">
      <alignment vertical="center"/>
    </xf>
    <xf numFmtId="44" fontId="0" fillId="0" borderId="0" xfId="1" applyFont="1" applyAlignment="1">
      <alignment horizontal="center"/>
    </xf>
    <xf numFmtId="173" fontId="0" fillId="0" borderId="0" xfId="1" applyNumberFormat="1" applyFont="1" applyAlignment="1">
      <alignment horizontal="center"/>
    </xf>
    <xf numFmtId="0" fontId="3" fillId="0" borderId="0" xfId="0" applyFont="1"/>
    <xf numFmtId="167" fontId="3" fillId="0" borderId="0" xfId="0" applyNumberFormat="1"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44" fontId="3" fillId="0" borderId="0" xfId="1" applyFont="1" applyAlignment="1">
      <alignment horizontal="center" vertical="center"/>
    </xf>
    <xf numFmtId="173" fontId="3" fillId="0" borderId="0" xfId="1" applyNumberFormat="1" applyFont="1" applyAlignment="1">
      <alignment horizontal="center" vertical="center"/>
    </xf>
    <xf numFmtId="0" fontId="0" fillId="0" borderId="0" xfId="0" pivotButton="1"/>
    <xf numFmtId="0" fontId="0" fillId="0" borderId="0" xfId="0" applyNumberFormat="1"/>
    <xf numFmtId="4" fontId="0" fillId="0" borderId="0" xfId="0" applyNumberFormat="1"/>
  </cellXfs>
  <cellStyles count="2">
    <cellStyle name="Currency" xfId="1" builtinId="4"/>
    <cellStyle name="Normal" xfId="0" builtinId="0"/>
  </cellStyles>
  <dxfs count="0"/>
  <tableStyles count="0" defaultTableStyle="TableStyleMedium2" defaultPivotStyle="PivotStyleLight16"/>
  <colors>
    <mruColors>
      <color rgb="FF4C74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 and dashboard.xlsx]Pivot Table!PivotTable7</c:name>
    <c:fmtId val="0"/>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Table'!$I$1</c:f>
              <c:strCache>
                <c:ptCount val="1"/>
                <c:pt idx="0">
                  <c:v>Total</c:v>
                </c:pt>
              </c:strCache>
            </c:strRef>
          </c:tx>
          <c:spPr>
            <a:solidFill>
              <a:schemeClr val="accent1"/>
            </a:solidFill>
            <a:ln>
              <a:noFill/>
            </a:ln>
            <a:effectLst/>
            <a:sp3d/>
          </c:spPr>
          <c:invertIfNegative val="0"/>
          <c:cat>
            <c:strRef>
              <c:f>'Pivot Table'!$H$2:$H$6</c:f>
              <c:strCache>
                <c:ptCount val="4"/>
                <c:pt idx="0">
                  <c:v>Eset</c:v>
                </c:pt>
                <c:pt idx="1">
                  <c:v>North</c:v>
                </c:pt>
                <c:pt idx="2">
                  <c:v>South</c:v>
                </c:pt>
                <c:pt idx="3">
                  <c:v>West</c:v>
                </c:pt>
              </c:strCache>
            </c:strRef>
          </c:cat>
          <c:val>
            <c:numRef>
              <c:f>'Pivot Table'!$I$2:$I$6</c:f>
              <c:numCache>
                <c:formatCode>General</c:formatCode>
                <c:ptCount val="4"/>
                <c:pt idx="0">
                  <c:v>5352</c:v>
                </c:pt>
                <c:pt idx="1">
                  <c:v>3674</c:v>
                </c:pt>
                <c:pt idx="2">
                  <c:v>7785</c:v>
                </c:pt>
                <c:pt idx="3">
                  <c:v>6522</c:v>
                </c:pt>
              </c:numCache>
            </c:numRef>
          </c:val>
          <c:extLst>
            <c:ext xmlns:c16="http://schemas.microsoft.com/office/drawing/2014/chart" uri="{C3380CC4-5D6E-409C-BE32-E72D297353CC}">
              <c16:uniqueId val="{00000000-8AB0-4A48-9087-FA1CDD8FD01F}"/>
            </c:ext>
          </c:extLst>
        </c:ser>
        <c:dLbls>
          <c:showLegendKey val="0"/>
          <c:showVal val="0"/>
          <c:showCatName val="0"/>
          <c:showSerName val="0"/>
          <c:showPercent val="0"/>
          <c:showBubbleSize val="0"/>
        </c:dLbls>
        <c:gapWidth val="150"/>
        <c:shape val="box"/>
        <c:axId val="524619680"/>
        <c:axId val="344261520"/>
        <c:axId val="0"/>
      </c:bar3DChart>
      <c:catAx>
        <c:axId val="52461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61520"/>
        <c:crosses val="autoZero"/>
        <c:auto val="1"/>
        <c:lblAlgn val="ctr"/>
        <c:lblOffset val="100"/>
        <c:noMultiLvlLbl val="0"/>
      </c:catAx>
      <c:valAx>
        <c:axId val="34426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1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 and dashboard.xlsx]Pivot Table!PivotTable8</c:name>
    <c:fmtId val="15"/>
  </c:pivotSource>
  <c:chart>
    <c:autoTitleDeleted val="1"/>
    <c:pivotFmts>
      <c:pivotFmt>
        <c:idx val="0"/>
        <c:spPr>
          <a:solidFill>
            <a:schemeClr val="accent1"/>
          </a:solidFill>
          <a:ln>
            <a:noFill/>
          </a:ln>
          <a:effectLst/>
        </c:spPr>
        <c:marker>
          <c:symbol val="none"/>
        </c:marker>
      </c:pivotFmt>
    </c:pivotFmts>
    <c:plotArea>
      <c:layout/>
      <c:areaChart>
        <c:grouping val="stacked"/>
        <c:varyColors val="0"/>
        <c:ser>
          <c:idx val="0"/>
          <c:order val="0"/>
          <c:tx>
            <c:strRef>
              <c:f>'Pivot Table'!$L$2</c:f>
              <c:strCache>
                <c:ptCount val="1"/>
                <c:pt idx="0">
                  <c:v>Total</c:v>
                </c:pt>
              </c:strCache>
            </c:strRef>
          </c:tx>
          <c:spPr>
            <a:solidFill>
              <a:schemeClr val="accent1"/>
            </a:solidFill>
            <a:ln>
              <a:noFill/>
            </a:ln>
            <a:effectLst/>
          </c:spPr>
          <c:cat>
            <c:strRef>
              <c:f>'Pivot Table'!$K$3:$K$5</c:f>
              <c:strCache>
                <c:ptCount val="2"/>
                <c:pt idx="0">
                  <c:v>Jul</c:v>
                </c:pt>
                <c:pt idx="1">
                  <c:v>Jun</c:v>
                </c:pt>
              </c:strCache>
            </c:strRef>
          </c:cat>
          <c:val>
            <c:numRef>
              <c:f>'Pivot Table'!$L$3:$L$5</c:f>
              <c:numCache>
                <c:formatCode>General</c:formatCode>
                <c:ptCount val="2"/>
                <c:pt idx="0">
                  <c:v>12689</c:v>
                </c:pt>
                <c:pt idx="1">
                  <c:v>10644</c:v>
                </c:pt>
              </c:numCache>
            </c:numRef>
          </c:val>
          <c:extLst>
            <c:ext xmlns:c16="http://schemas.microsoft.com/office/drawing/2014/chart" uri="{C3380CC4-5D6E-409C-BE32-E72D297353CC}">
              <c16:uniqueId val="{00000000-51E9-48FE-993F-3759F0FBB446}"/>
            </c:ext>
          </c:extLst>
        </c:ser>
        <c:dLbls>
          <c:showLegendKey val="0"/>
          <c:showVal val="0"/>
          <c:showCatName val="0"/>
          <c:showSerName val="0"/>
          <c:showPercent val="0"/>
          <c:showBubbleSize val="0"/>
        </c:dLbls>
        <c:axId val="488178224"/>
        <c:axId val="246199424"/>
      </c:areaChart>
      <c:catAx>
        <c:axId val="48817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199424"/>
        <c:crosses val="autoZero"/>
        <c:auto val="1"/>
        <c:lblAlgn val="ctr"/>
        <c:lblOffset val="100"/>
        <c:noMultiLvlLbl val="0"/>
      </c:catAx>
      <c:valAx>
        <c:axId val="24619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782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 and dashboard.xlsx]Pivot Table!PivotTable9</c:name>
    <c:fmtId val="18"/>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Table'!$O$6</c:f>
              <c:strCache>
                <c:ptCount val="1"/>
                <c:pt idx="0">
                  <c:v>Total</c:v>
                </c:pt>
              </c:strCache>
            </c:strRef>
          </c:tx>
          <c:spPr>
            <a:solidFill>
              <a:schemeClr val="accent1"/>
            </a:solidFill>
            <a:ln>
              <a:noFill/>
            </a:ln>
            <a:effectLst/>
            <a:sp3d/>
          </c:spPr>
          <c:invertIfNegative val="0"/>
          <c:cat>
            <c:strRef>
              <c:f>'Pivot Table'!$N$7:$N$13</c:f>
              <c:strCache>
                <c:ptCount val="6"/>
                <c:pt idx="0">
                  <c:v>Charger</c:v>
                </c:pt>
                <c:pt idx="1">
                  <c:v>Chir</c:v>
                </c:pt>
                <c:pt idx="2">
                  <c:v>Desk Lamp</c:v>
                </c:pt>
                <c:pt idx="3">
                  <c:v>Nootbook</c:v>
                </c:pt>
                <c:pt idx="4">
                  <c:v>Pen Set</c:v>
                </c:pt>
                <c:pt idx="5">
                  <c:v>USB</c:v>
                </c:pt>
              </c:strCache>
            </c:strRef>
          </c:cat>
          <c:val>
            <c:numRef>
              <c:f>'Pivot Table'!$O$7:$O$13</c:f>
              <c:numCache>
                <c:formatCode>General</c:formatCode>
                <c:ptCount val="6"/>
                <c:pt idx="0">
                  <c:v>4620</c:v>
                </c:pt>
                <c:pt idx="1">
                  <c:v>7440</c:v>
                </c:pt>
                <c:pt idx="2">
                  <c:v>5110</c:v>
                </c:pt>
                <c:pt idx="3">
                  <c:v>1418</c:v>
                </c:pt>
                <c:pt idx="4">
                  <c:v>3290</c:v>
                </c:pt>
                <c:pt idx="5">
                  <c:v>1455</c:v>
                </c:pt>
              </c:numCache>
            </c:numRef>
          </c:val>
          <c:extLst>
            <c:ext xmlns:c16="http://schemas.microsoft.com/office/drawing/2014/chart" uri="{C3380CC4-5D6E-409C-BE32-E72D297353CC}">
              <c16:uniqueId val="{00000000-7204-476D-96F6-9F2B5C1BEF9A}"/>
            </c:ext>
          </c:extLst>
        </c:ser>
        <c:dLbls>
          <c:showLegendKey val="0"/>
          <c:showVal val="0"/>
          <c:showCatName val="0"/>
          <c:showSerName val="0"/>
          <c:showPercent val="0"/>
          <c:showBubbleSize val="0"/>
        </c:dLbls>
        <c:gapWidth val="150"/>
        <c:shape val="box"/>
        <c:axId val="484672784"/>
        <c:axId val="243495328"/>
        <c:axId val="0"/>
      </c:bar3DChart>
      <c:catAx>
        <c:axId val="484672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95328"/>
        <c:crosses val="autoZero"/>
        <c:auto val="1"/>
        <c:lblAlgn val="ctr"/>
        <c:lblOffset val="100"/>
        <c:noMultiLvlLbl val="0"/>
      </c:catAx>
      <c:valAx>
        <c:axId val="24349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7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 and dashboard.xlsx]Pivot Table!PivotTable7</c:name>
    <c:fmtId val="2"/>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Table'!$I$1</c:f>
              <c:strCache>
                <c:ptCount val="1"/>
                <c:pt idx="0">
                  <c:v>Total</c:v>
                </c:pt>
              </c:strCache>
            </c:strRef>
          </c:tx>
          <c:spPr>
            <a:solidFill>
              <a:schemeClr val="accent1"/>
            </a:solidFill>
            <a:ln>
              <a:noFill/>
            </a:ln>
            <a:effectLst/>
            <a:sp3d/>
          </c:spPr>
          <c:invertIfNegative val="0"/>
          <c:cat>
            <c:strRef>
              <c:f>'Pivot Table'!$H$2:$H$6</c:f>
              <c:strCache>
                <c:ptCount val="4"/>
                <c:pt idx="0">
                  <c:v>Eset</c:v>
                </c:pt>
                <c:pt idx="1">
                  <c:v>North</c:v>
                </c:pt>
                <c:pt idx="2">
                  <c:v>South</c:v>
                </c:pt>
                <c:pt idx="3">
                  <c:v>West</c:v>
                </c:pt>
              </c:strCache>
            </c:strRef>
          </c:cat>
          <c:val>
            <c:numRef>
              <c:f>'Pivot Table'!$I$2:$I$6</c:f>
              <c:numCache>
                <c:formatCode>General</c:formatCode>
                <c:ptCount val="4"/>
                <c:pt idx="0">
                  <c:v>5352</c:v>
                </c:pt>
                <c:pt idx="1">
                  <c:v>3674</c:v>
                </c:pt>
                <c:pt idx="2">
                  <c:v>7785</c:v>
                </c:pt>
                <c:pt idx="3">
                  <c:v>6522</c:v>
                </c:pt>
              </c:numCache>
            </c:numRef>
          </c:val>
          <c:extLst>
            <c:ext xmlns:c16="http://schemas.microsoft.com/office/drawing/2014/chart" uri="{C3380CC4-5D6E-409C-BE32-E72D297353CC}">
              <c16:uniqueId val="{00000000-422D-4D66-9019-978854085AD8}"/>
            </c:ext>
          </c:extLst>
        </c:ser>
        <c:dLbls>
          <c:showLegendKey val="0"/>
          <c:showVal val="0"/>
          <c:showCatName val="0"/>
          <c:showSerName val="0"/>
          <c:showPercent val="0"/>
          <c:showBubbleSize val="0"/>
        </c:dLbls>
        <c:gapWidth val="150"/>
        <c:shape val="box"/>
        <c:axId val="524619680"/>
        <c:axId val="344261520"/>
        <c:axId val="0"/>
      </c:bar3DChart>
      <c:catAx>
        <c:axId val="52461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61520"/>
        <c:crosses val="autoZero"/>
        <c:auto val="1"/>
        <c:lblAlgn val="ctr"/>
        <c:lblOffset val="100"/>
        <c:noMultiLvlLbl val="0"/>
      </c:catAx>
      <c:valAx>
        <c:axId val="34426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1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 and dashboard.xlsx]Pivot Table!PivotTable8</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cked"/>
        <c:varyColors val="0"/>
        <c:ser>
          <c:idx val="0"/>
          <c:order val="0"/>
          <c:tx>
            <c:strRef>
              <c:f>'Pivot Table'!$L$2</c:f>
              <c:strCache>
                <c:ptCount val="1"/>
                <c:pt idx="0">
                  <c:v>Total</c:v>
                </c:pt>
              </c:strCache>
            </c:strRef>
          </c:tx>
          <c:spPr>
            <a:solidFill>
              <a:schemeClr val="accent1"/>
            </a:solidFill>
            <a:ln>
              <a:noFill/>
            </a:ln>
            <a:effectLst/>
          </c:spPr>
          <c:cat>
            <c:strRef>
              <c:f>'Pivot Table'!$K$3:$K$5</c:f>
              <c:strCache>
                <c:ptCount val="2"/>
                <c:pt idx="0">
                  <c:v>Jul</c:v>
                </c:pt>
                <c:pt idx="1">
                  <c:v>Jun</c:v>
                </c:pt>
              </c:strCache>
            </c:strRef>
          </c:cat>
          <c:val>
            <c:numRef>
              <c:f>'Pivot Table'!$L$3:$L$5</c:f>
              <c:numCache>
                <c:formatCode>General</c:formatCode>
                <c:ptCount val="2"/>
                <c:pt idx="0">
                  <c:v>12689</c:v>
                </c:pt>
                <c:pt idx="1">
                  <c:v>10644</c:v>
                </c:pt>
              </c:numCache>
            </c:numRef>
          </c:val>
          <c:extLst>
            <c:ext xmlns:c16="http://schemas.microsoft.com/office/drawing/2014/chart" uri="{C3380CC4-5D6E-409C-BE32-E72D297353CC}">
              <c16:uniqueId val="{00000000-EEF1-47ED-ADF8-FE81D2F86D22}"/>
            </c:ext>
          </c:extLst>
        </c:ser>
        <c:dLbls>
          <c:showLegendKey val="0"/>
          <c:showVal val="0"/>
          <c:showCatName val="0"/>
          <c:showSerName val="0"/>
          <c:showPercent val="0"/>
          <c:showBubbleSize val="0"/>
        </c:dLbls>
        <c:axId val="488178224"/>
        <c:axId val="246199424"/>
      </c:areaChart>
      <c:catAx>
        <c:axId val="48817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199424"/>
        <c:crosses val="autoZero"/>
        <c:auto val="1"/>
        <c:lblAlgn val="ctr"/>
        <c:lblOffset val="100"/>
        <c:noMultiLvlLbl val="0"/>
      </c:catAx>
      <c:valAx>
        <c:axId val="24619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782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 and dashboard.xlsx]Pivot Table!PivotTable9</c:name>
    <c:fmtId val="20"/>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Table'!$O$6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Table'!$N$7:$N$13</c:f>
              <c:strCache>
                <c:ptCount val="6"/>
                <c:pt idx="0">
                  <c:v>Charger</c:v>
                </c:pt>
                <c:pt idx="1">
                  <c:v>Chir</c:v>
                </c:pt>
                <c:pt idx="2">
                  <c:v>Desk Lamp</c:v>
                </c:pt>
                <c:pt idx="3">
                  <c:v>Nootbook</c:v>
                </c:pt>
                <c:pt idx="4">
                  <c:v>Pen Set</c:v>
                </c:pt>
                <c:pt idx="5">
                  <c:v>USB</c:v>
                </c:pt>
              </c:strCache>
            </c:strRef>
          </c:cat>
          <c:val>
            <c:numRef>
              <c:f>'Pivot Table'!$O$7:$O$13</c:f>
              <c:numCache>
                <c:formatCode>General</c:formatCode>
                <c:ptCount val="6"/>
                <c:pt idx="0">
                  <c:v>4620</c:v>
                </c:pt>
                <c:pt idx="1">
                  <c:v>7440</c:v>
                </c:pt>
                <c:pt idx="2">
                  <c:v>5110</c:v>
                </c:pt>
                <c:pt idx="3">
                  <c:v>1418</c:v>
                </c:pt>
                <c:pt idx="4">
                  <c:v>3290</c:v>
                </c:pt>
                <c:pt idx="5">
                  <c:v>1455</c:v>
                </c:pt>
              </c:numCache>
            </c:numRef>
          </c:val>
          <c:extLst>
            <c:ext xmlns:c16="http://schemas.microsoft.com/office/drawing/2014/chart" uri="{C3380CC4-5D6E-409C-BE32-E72D297353CC}">
              <c16:uniqueId val="{00000000-0D04-456E-89B2-61168CB1BEDF}"/>
            </c:ext>
          </c:extLst>
        </c:ser>
        <c:dLbls>
          <c:showLegendKey val="0"/>
          <c:showVal val="1"/>
          <c:showCatName val="0"/>
          <c:showSerName val="0"/>
          <c:showPercent val="0"/>
          <c:showBubbleSize val="0"/>
        </c:dLbls>
        <c:gapWidth val="150"/>
        <c:shape val="box"/>
        <c:axId val="484672784"/>
        <c:axId val="243495328"/>
        <c:axId val="0"/>
      </c:bar3DChart>
      <c:catAx>
        <c:axId val="484672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95328"/>
        <c:crosses val="autoZero"/>
        <c:auto val="1"/>
        <c:lblAlgn val="ctr"/>
        <c:lblOffset val="100"/>
        <c:noMultiLvlLbl val="0"/>
      </c:catAx>
      <c:valAx>
        <c:axId val="24349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7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57150</xdr:rowOff>
    </xdr:from>
    <xdr:to>
      <xdr:col>7</xdr:col>
      <xdr:colOff>704850</xdr:colOff>
      <xdr:row>16</xdr:row>
      <xdr:rowOff>47625</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B5288D11-6288-4583-9074-682274AB9F0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2152650"/>
              <a:ext cx="5772150" cy="942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18</xdr:row>
      <xdr:rowOff>0</xdr:rowOff>
    </xdr:from>
    <xdr:to>
      <xdr:col>3</xdr:col>
      <xdr:colOff>762001</xdr:colOff>
      <xdr:row>22</xdr:row>
      <xdr:rowOff>180975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D51EED3-83F3-4C6E-8CFC-C4F06CB854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429000"/>
              <a:ext cx="3124201"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18</xdr:row>
      <xdr:rowOff>0</xdr:rowOff>
    </xdr:from>
    <xdr:to>
      <xdr:col>11</xdr:col>
      <xdr:colOff>95250</xdr:colOff>
      <xdr:row>22</xdr:row>
      <xdr:rowOff>171450</xdr:rowOff>
    </xdr:to>
    <mc:AlternateContent xmlns:mc="http://schemas.openxmlformats.org/markup-compatibility/2006">
      <mc:Choice xmlns:a14="http://schemas.microsoft.com/office/drawing/2010/main" Requires="a14">
        <xdr:graphicFrame macro="">
          <xdr:nvGraphicFramePr>
            <xdr:cNvPr id="4" name="Item ">
              <a:extLst>
                <a:ext uri="{FF2B5EF4-FFF2-40B4-BE49-F238E27FC236}">
                  <a16:creationId xmlns:a16="http://schemas.microsoft.com/office/drawing/2014/main" id="{8993CBB0-641A-41A8-8F4C-356FF3FF165E}"/>
                </a:ext>
              </a:extLst>
            </xdr:cNvPr>
            <xdr:cNvGraphicFramePr/>
          </xdr:nvGraphicFramePr>
          <xdr:xfrm>
            <a:off x="0" y="0"/>
            <a:ext cx="0" cy="0"/>
          </xdr:xfrm>
          <a:graphic>
            <a:graphicData uri="http://schemas.microsoft.com/office/drawing/2010/slicer">
              <sle:slicer xmlns:sle="http://schemas.microsoft.com/office/drawing/2010/slicer" name="Item "/>
            </a:graphicData>
          </a:graphic>
        </xdr:graphicFrame>
      </mc:Choice>
      <mc:Fallback>
        <xdr:sp macro="" textlink="">
          <xdr:nvSpPr>
            <xdr:cNvPr id="0" name=""/>
            <xdr:cNvSpPr>
              <a:spLocks noTextEdit="1"/>
            </xdr:cNvSpPr>
          </xdr:nvSpPr>
          <xdr:spPr>
            <a:xfrm>
              <a:off x="3295650" y="3429000"/>
              <a:ext cx="52197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338137</xdr:colOff>
      <xdr:row>26</xdr:row>
      <xdr:rowOff>61912</xdr:rowOff>
    </xdr:from>
    <xdr:to>
      <xdr:col>11</xdr:col>
      <xdr:colOff>604837</xdr:colOff>
      <xdr:row>40</xdr:row>
      <xdr:rowOff>138112</xdr:rowOff>
    </xdr:to>
    <xdr:graphicFrame macro="">
      <xdr:nvGraphicFramePr>
        <xdr:cNvPr id="5" name="Chart 4">
          <a:extLst>
            <a:ext uri="{FF2B5EF4-FFF2-40B4-BE49-F238E27FC236}">
              <a16:creationId xmlns:a16="http://schemas.microsoft.com/office/drawing/2014/main" id="{7A81936C-3DDD-4012-B8EB-FD8D1BDB1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319087</xdr:colOff>
      <xdr:row>13</xdr:row>
      <xdr:rowOff>23812</xdr:rowOff>
    </xdr:from>
    <xdr:to>
      <xdr:col>12</xdr:col>
      <xdr:colOff>547687</xdr:colOff>
      <xdr:row>27</xdr:row>
      <xdr:rowOff>100012</xdr:rowOff>
    </xdr:to>
    <xdr:graphicFrame macro="">
      <xdr:nvGraphicFramePr>
        <xdr:cNvPr id="7" name="Chart 6">
          <a:extLst>
            <a:ext uri="{FF2B5EF4-FFF2-40B4-BE49-F238E27FC236}">
              <a16:creationId xmlns:a16="http://schemas.microsoft.com/office/drawing/2014/main" id="{E5CD905A-1DAF-4CA5-9C50-C716D1E9C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319087</xdr:colOff>
      <xdr:row>16</xdr:row>
      <xdr:rowOff>23812</xdr:rowOff>
    </xdr:from>
    <xdr:to>
      <xdr:col>18</xdr:col>
      <xdr:colOff>585787</xdr:colOff>
      <xdr:row>30</xdr:row>
      <xdr:rowOff>100012</xdr:rowOff>
    </xdr:to>
    <xdr:graphicFrame macro="">
      <xdr:nvGraphicFramePr>
        <xdr:cNvPr id="8" name="Chart 7">
          <a:extLst>
            <a:ext uri="{FF2B5EF4-FFF2-40B4-BE49-F238E27FC236}">
              <a16:creationId xmlns:a16="http://schemas.microsoft.com/office/drawing/2014/main" id="{4158E920-7D08-448E-B2DD-3B86DCF33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66675</xdr:rowOff>
    </xdr:from>
    <xdr:to>
      <xdr:col>19</xdr:col>
      <xdr:colOff>504825</xdr:colOff>
      <xdr:row>37</xdr:row>
      <xdr:rowOff>133350</xdr:rowOff>
    </xdr:to>
    <xdr:sp macro="" textlink="">
      <xdr:nvSpPr>
        <xdr:cNvPr id="2" name="Rectangle: Rounded Corners 1">
          <a:extLst>
            <a:ext uri="{FF2B5EF4-FFF2-40B4-BE49-F238E27FC236}">
              <a16:creationId xmlns:a16="http://schemas.microsoft.com/office/drawing/2014/main" id="{6BAE61A6-9A8E-4D8B-B959-F0EA014C9DFB}"/>
            </a:ext>
          </a:extLst>
        </xdr:cNvPr>
        <xdr:cNvSpPr/>
      </xdr:nvSpPr>
      <xdr:spPr>
        <a:xfrm>
          <a:off x="66675" y="66675"/>
          <a:ext cx="12020550" cy="7115175"/>
        </a:xfrm>
        <a:prstGeom prst="roundRect">
          <a:avLst>
            <a:gd name="adj" fmla="val 1540"/>
          </a:avLst>
        </a:prstGeom>
        <a:solidFill>
          <a:srgbClr val="4C7430"/>
        </a:solidFill>
        <a:ln>
          <a:solidFill>
            <a:schemeClr val="accent6">
              <a:lumMod val="50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209550</xdr:colOff>
      <xdr:row>2</xdr:row>
      <xdr:rowOff>114300</xdr:rowOff>
    </xdr:from>
    <xdr:to>
      <xdr:col>19</xdr:col>
      <xdr:colOff>200024</xdr:colOff>
      <xdr:row>36</xdr:row>
      <xdr:rowOff>19050</xdr:rowOff>
    </xdr:to>
    <xdr:sp macro="" textlink="">
      <xdr:nvSpPr>
        <xdr:cNvPr id="3" name="Rectangle: Rounded Corners 2">
          <a:extLst>
            <a:ext uri="{FF2B5EF4-FFF2-40B4-BE49-F238E27FC236}">
              <a16:creationId xmlns:a16="http://schemas.microsoft.com/office/drawing/2014/main" id="{8D0DFA02-91A7-461F-B8B2-900E52EA72AE}"/>
            </a:ext>
          </a:extLst>
        </xdr:cNvPr>
        <xdr:cNvSpPr/>
      </xdr:nvSpPr>
      <xdr:spPr>
        <a:xfrm>
          <a:off x="2038350" y="495300"/>
          <a:ext cx="9744074" cy="6381750"/>
        </a:xfrm>
        <a:prstGeom prst="roundRect">
          <a:avLst>
            <a:gd name="adj" fmla="val 1540"/>
          </a:avLst>
        </a:prstGeom>
        <a:solidFill>
          <a:schemeClr val="bg2"/>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361950</xdr:colOff>
      <xdr:row>3</xdr:row>
      <xdr:rowOff>114300</xdr:rowOff>
    </xdr:from>
    <xdr:to>
      <xdr:col>13</xdr:col>
      <xdr:colOff>495300</xdr:colOff>
      <xdr:row>8</xdr:row>
      <xdr:rowOff>19050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DD40CFA9-ECF9-4186-BC2A-6D2A4706D449}"/>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190750" y="685800"/>
              <a:ext cx="6229350" cy="8572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28575</xdr:colOff>
      <xdr:row>3</xdr:row>
      <xdr:rowOff>104775</xdr:rowOff>
    </xdr:from>
    <xdr:to>
      <xdr:col>19</xdr:col>
      <xdr:colOff>104776</xdr:colOff>
      <xdr:row>8</xdr:row>
      <xdr:rowOff>38100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D043711B-D060-45BD-9070-B588C14517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62975" y="676275"/>
              <a:ext cx="3124201"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371475</xdr:colOff>
      <xdr:row>12</xdr:row>
      <xdr:rowOff>180975</xdr:rowOff>
    </xdr:from>
    <xdr:to>
      <xdr:col>2</xdr:col>
      <xdr:colOff>523875</xdr:colOff>
      <xdr:row>15</xdr:row>
      <xdr:rowOff>57150</xdr:rowOff>
    </xdr:to>
    <xdr:sp macro="" textlink="">
      <xdr:nvSpPr>
        <xdr:cNvPr id="10" name="TextBox 9">
          <a:extLst>
            <a:ext uri="{FF2B5EF4-FFF2-40B4-BE49-F238E27FC236}">
              <a16:creationId xmlns:a16="http://schemas.microsoft.com/office/drawing/2014/main" id="{E5255CBF-D9C3-4645-A8C7-8D89D55D3E36}"/>
            </a:ext>
          </a:extLst>
        </xdr:cNvPr>
        <xdr:cNvSpPr txBox="1"/>
      </xdr:nvSpPr>
      <xdr:spPr>
        <a:xfrm>
          <a:off x="371475" y="2466975"/>
          <a:ext cx="1371600"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Dashboard</a:t>
          </a:r>
        </a:p>
      </xdr:txBody>
    </xdr:sp>
    <xdr:clientData/>
  </xdr:twoCellAnchor>
  <xdr:twoCellAnchor>
    <xdr:from>
      <xdr:col>0</xdr:col>
      <xdr:colOff>371475</xdr:colOff>
      <xdr:row>18</xdr:row>
      <xdr:rowOff>76200</xdr:rowOff>
    </xdr:from>
    <xdr:to>
      <xdr:col>2</xdr:col>
      <xdr:colOff>523875</xdr:colOff>
      <xdr:row>20</xdr:row>
      <xdr:rowOff>142875</xdr:rowOff>
    </xdr:to>
    <xdr:sp macro="" textlink="">
      <xdr:nvSpPr>
        <xdr:cNvPr id="14" name="TextBox 13">
          <a:extLst>
            <a:ext uri="{FF2B5EF4-FFF2-40B4-BE49-F238E27FC236}">
              <a16:creationId xmlns:a16="http://schemas.microsoft.com/office/drawing/2014/main" id="{0DEB9C2B-43FA-4B06-B082-B537CF1B2ADB}"/>
            </a:ext>
          </a:extLst>
        </xdr:cNvPr>
        <xdr:cNvSpPr txBox="1"/>
      </xdr:nvSpPr>
      <xdr:spPr>
        <a:xfrm>
          <a:off x="371475" y="3505200"/>
          <a:ext cx="1371600" cy="447675"/>
        </a:xfrm>
        <a:prstGeom prst="rect">
          <a:avLst/>
        </a:prstGeom>
        <a:no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Reports</a:t>
          </a:r>
        </a:p>
      </xdr:txBody>
    </xdr:sp>
    <xdr:clientData/>
  </xdr:twoCellAnchor>
  <xdr:twoCellAnchor>
    <xdr:from>
      <xdr:col>0</xdr:col>
      <xdr:colOff>371475</xdr:colOff>
      <xdr:row>23</xdr:row>
      <xdr:rowOff>142875</xdr:rowOff>
    </xdr:from>
    <xdr:to>
      <xdr:col>2</xdr:col>
      <xdr:colOff>523875</xdr:colOff>
      <xdr:row>26</xdr:row>
      <xdr:rowOff>19050</xdr:rowOff>
    </xdr:to>
    <xdr:sp macro="" textlink="">
      <xdr:nvSpPr>
        <xdr:cNvPr id="15" name="TextBox 14">
          <a:extLst>
            <a:ext uri="{FF2B5EF4-FFF2-40B4-BE49-F238E27FC236}">
              <a16:creationId xmlns:a16="http://schemas.microsoft.com/office/drawing/2014/main" id="{4394FF4B-CF5F-4F29-86C8-055E4B908BEA}"/>
            </a:ext>
          </a:extLst>
        </xdr:cNvPr>
        <xdr:cNvSpPr txBox="1"/>
      </xdr:nvSpPr>
      <xdr:spPr>
        <a:xfrm>
          <a:off x="371475" y="4524375"/>
          <a:ext cx="1371600" cy="447675"/>
        </a:xfrm>
        <a:prstGeom prst="rect">
          <a:avLst/>
        </a:prstGeom>
        <a:no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About</a:t>
          </a:r>
          <a:r>
            <a:rPr lang="en-US" sz="1600" b="1" baseline="0">
              <a:solidFill>
                <a:schemeClr val="bg1"/>
              </a:solidFill>
            </a:rPr>
            <a:t> Us</a:t>
          </a:r>
          <a:endParaRPr lang="en-US" sz="1600" b="1">
            <a:solidFill>
              <a:schemeClr val="bg1"/>
            </a:solidFill>
          </a:endParaRPr>
        </a:p>
      </xdr:txBody>
    </xdr:sp>
    <xdr:clientData/>
  </xdr:twoCellAnchor>
  <xdr:twoCellAnchor editAs="oneCell">
    <xdr:from>
      <xdr:col>3</xdr:col>
      <xdr:colOff>342900</xdr:colOff>
      <xdr:row>9</xdr:row>
      <xdr:rowOff>0</xdr:rowOff>
    </xdr:from>
    <xdr:to>
      <xdr:col>19</xdr:col>
      <xdr:colOff>95250</xdr:colOff>
      <xdr:row>13</xdr:row>
      <xdr:rowOff>9525</xdr:rowOff>
    </xdr:to>
    <mc:AlternateContent xmlns:mc="http://schemas.openxmlformats.org/markup-compatibility/2006">
      <mc:Choice xmlns:a14="http://schemas.microsoft.com/office/drawing/2010/main" Requires="a14">
        <xdr:graphicFrame macro="">
          <xdr:nvGraphicFramePr>
            <xdr:cNvPr id="16" name="Item  1">
              <a:extLst>
                <a:ext uri="{FF2B5EF4-FFF2-40B4-BE49-F238E27FC236}">
                  <a16:creationId xmlns:a16="http://schemas.microsoft.com/office/drawing/2014/main" id="{2E60C6C9-0E98-436F-A97B-EE0DB92D3D3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171700" y="1714500"/>
              <a:ext cx="9505950" cy="771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352425</xdr:colOff>
      <xdr:row>16</xdr:row>
      <xdr:rowOff>19050</xdr:rowOff>
    </xdr:from>
    <xdr:to>
      <xdr:col>6</xdr:col>
      <xdr:colOff>381000</xdr:colOff>
      <xdr:row>19</xdr:row>
      <xdr:rowOff>19050</xdr:rowOff>
    </xdr:to>
    <xdr:sp macro="" textlink="">
      <xdr:nvSpPr>
        <xdr:cNvPr id="17" name="Rectangle: Rounded Corners 16">
          <a:extLst>
            <a:ext uri="{FF2B5EF4-FFF2-40B4-BE49-F238E27FC236}">
              <a16:creationId xmlns:a16="http://schemas.microsoft.com/office/drawing/2014/main" id="{E70EC582-6628-47E4-9707-F53D4477B89C}"/>
            </a:ext>
          </a:extLst>
        </xdr:cNvPr>
        <xdr:cNvSpPr/>
      </xdr:nvSpPr>
      <xdr:spPr>
        <a:xfrm>
          <a:off x="2181225" y="3067050"/>
          <a:ext cx="1857375" cy="571500"/>
        </a:xfrm>
        <a:prstGeom prst="roundRect">
          <a:avLst>
            <a:gd name="adj" fmla="val 11667"/>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447675</xdr:colOff>
      <xdr:row>16</xdr:row>
      <xdr:rowOff>19050</xdr:rowOff>
    </xdr:from>
    <xdr:to>
      <xdr:col>6</xdr:col>
      <xdr:colOff>323850</xdr:colOff>
      <xdr:row>19</xdr:row>
      <xdr:rowOff>19050</xdr:rowOff>
    </xdr:to>
    <xdr:sp macro="" textlink="">
      <xdr:nvSpPr>
        <xdr:cNvPr id="18" name="Rectangle: Rounded Corners 17">
          <a:extLst>
            <a:ext uri="{FF2B5EF4-FFF2-40B4-BE49-F238E27FC236}">
              <a16:creationId xmlns:a16="http://schemas.microsoft.com/office/drawing/2014/main" id="{C4581CA3-70E1-4DBF-9930-41EB63F9D4C7}"/>
            </a:ext>
          </a:extLst>
        </xdr:cNvPr>
        <xdr:cNvSpPr/>
      </xdr:nvSpPr>
      <xdr:spPr>
        <a:xfrm>
          <a:off x="2276475" y="3067050"/>
          <a:ext cx="1704975" cy="571500"/>
        </a:xfrm>
        <a:prstGeom prst="roundRect">
          <a:avLst>
            <a:gd name="adj" fmla="val 11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190500</xdr:colOff>
      <xdr:row>16</xdr:row>
      <xdr:rowOff>9525</xdr:rowOff>
    </xdr:from>
    <xdr:to>
      <xdr:col>10</xdr:col>
      <xdr:colOff>219075</xdr:colOff>
      <xdr:row>19</xdr:row>
      <xdr:rowOff>9525</xdr:rowOff>
    </xdr:to>
    <xdr:sp macro="" textlink="">
      <xdr:nvSpPr>
        <xdr:cNvPr id="19" name="Rectangle: Rounded Corners 18">
          <a:extLst>
            <a:ext uri="{FF2B5EF4-FFF2-40B4-BE49-F238E27FC236}">
              <a16:creationId xmlns:a16="http://schemas.microsoft.com/office/drawing/2014/main" id="{6AC87870-7BC4-429E-8BAB-2ECDB527D296}"/>
            </a:ext>
          </a:extLst>
        </xdr:cNvPr>
        <xdr:cNvSpPr/>
      </xdr:nvSpPr>
      <xdr:spPr>
        <a:xfrm>
          <a:off x="4457700" y="3057525"/>
          <a:ext cx="1857375" cy="571500"/>
        </a:xfrm>
        <a:prstGeom prst="roundRect">
          <a:avLst>
            <a:gd name="adj" fmla="val 11667"/>
          </a:avLst>
        </a:prstGeom>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323850</xdr:colOff>
      <xdr:row>16</xdr:row>
      <xdr:rowOff>9525</xdr:rowOff>
    </xdr:from>
    <xdr:to>
      <xdr:col>10</xdr:col>
      <xdr:colOff>200025</xdr:colOff>
      <xdr:row>19</xdr:row>
      <xdr:rowOff>9525</xdr:rowOff>
    </xdr:to>
    <xdr:sp macro="" textlink="">
      <xdr:nvSpPr>
        <xdr:cNvPr id="20" name="Rectangle: Rounded Corners 19">
          <a:extLst>
            <a:ext uri="{FF2B5EF4-FFF2-40B4-BE49-F238E27FC236}">
              <a16:creationId xmlns:a16="http://schemas.microsoft.com/office/drawing/2014/main" id="{49EFE4C0-DB6A-4F42-BC37-961AE6738D4C}"/>
            </a:ext>
          </a:extLst>
        </xdr:cNvPr>
        <xdr:cNvSpPr/>
      </xdr:nvSpPr>
      <xdr:spPr>
        <a:xfrm>
          <a:off x="4591050" y="3057525"/>
          <a:ext cx="1704975" cy="571500"/>
        </a:xfrm>
        <a:prstGeom prst="roundRect">
          <a:avLst>
            <a:gd name="adj" fmla="val 11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428625</xdr:colOff>
      <xdr:row>19</xdr:row>
      <xdr:rowOff>142874</xdr:rowOff>
    </xdr:from>
    <xdr:to>
      <xdr:col>10</xdr:col>
      <xdr:colOff>552450</xdr:colOff>
      <xdr:row>34</xdr:row>
      <xdr:rowOff>114299</xdr:rowOff>
    </xdr:to>
    <xdr:sp macro="" textlink="">
      <xdr:nvSpPr>
        <xdr:cNvPr id="21" name="Rectangle: Rounded Corners 20">
          <a:extLst>
            <a:ext uri="{FF2B5EF4-FFF2-40B4-BE49-F238E27FC236}">
              <a16:creationId xmlns:a16="http://schemas.microsoft.com/office/drawing/2014/main" id="{835726A6-DBBC-42C2-8D00-742EBDE74672}"/>
            </a:ext>
          </a:extLst>
        </xdr:cNvPr>
        <xdr:cNvSpPr/>
      </xdr:nvSpPr>
      <xdr:spPr>
        <a:xfrm>
          <a:off x="2257425" y="3762374"/>
          <a:ext cx="4391025" cy="2828925"/>
        </a:xfrm>
        <a:prstGeom prst="roundRect">
          <a:avLst>
            <a:gd name="adj" fmla="val 8300"/>
          </a:avLst>
        </a:prstGeom>
        <a:solidFill>
          <a:schemeClr val="bg1"/>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161925</xdr:colOff>
      <xdr:row>14</xdr:row>
      <xdr:rowOff>161925</xdr:rowOff>
    </xdr:from>
    <xdr:to>
      <xdr:col>19</xdr:col>
      <xdr:colOff>104775</xdr:colOff>
      <xdr:row>24</xdr:row>
      <xdr:rowOff>28574</xdr:rowOff>
    </xdr:to>
    <xdr:sp macro="" textlink="">
      <xdr:nvSpPr>
        <xdr:cNvPr id="23" name="Rectangle: Rounded Corners 22">
          <a:extLst>
            <a:ext uri="{FF2B5EF4-FFF2-40B4-BE49-F238E27FC236}">
              <a16:creationId xmlns:a16="http://schemas.microsoft.com/office/drawing/2014/main" id="{EE44B66A-8FD2-4877-ACFB-C82EE0593347}"/>
            </a:ext>
          </a:extLst>
        </xdr:cNvPr>
        <xdr:cNvSpPr/>
      </xdr:nvSpPr>
      <xdr:spPr>
        <a:xfrm>
          <a:off x="6867525" y="2828925"/>
          <a:ext cx="4819650" cy="1771649"/>
        </a:xfrm>
        <a:prstGeom prst="roundRect">
          <a:avLst>
            <a:gd name="adj" fmla="val 7707"/>
          </a:avLst>
        </a:prstGeom>
        <a:solidFill>
          <a:schemeClr val="bg1"/>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180975</xdr:colOff>
      <xdr:row>25</xdr:row>
      <xdr:rowOff>0</xdr:rowOff>
    </xdr:from>
    <xdr:to>
      <xdr:col>19</xdr:col>
      <xdr:colOff>123825</xdr:colOff>
      <xdr:row>34</xdr:row>
      <xdr:rowOff>57149</xdr:rowOff>
    </xdr:to>
    <xdr:sp macro="" textlink="">
      <xdr:nvSpPr>
        <xdr:cNvPr id="26" name="Rectangle: Rounded Corners 25">
          <a:extLst>
            <a:ext uri="{FF2B5EF4-FFF2-40B4-BE49-F238E27FC236}">
              <a16:creationId xmlns:a16="http://schemas.microsoft.com/office/drawing/2014/main" id="{7566CA9E-405D-425B-BC02-755AF38E23DF}"/>
            </a:ext>
          </a:extLst>
        </xdr:cNvPr>
        <xdr:cNvSpPr/>
      </xdr:nvSpPr>
      <xdr:spPr>
        <a:xfrm>
          <a:off x="6886575" y="4762500"/>
          <a:ext cx="4819650" cy="1771649"/>
        </a:xfrm>
        <a:prstGeom prst="roundRect">
          <a:avLst>
            <a:gd name="adj" fmla="val 7707"/>
          </a:avLst>
        </a:prstGeom>
        <a:solidFill>
          <a:schemeClr val="bg1"/>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352426</xdr:colOff>
      <xdr:row>16</xdr:row>
      <xdr:rowOff>0</xdr:rowOff>
    </xdr:from>
    <xdr:to>
      <xdr:col>8</xdr:col>
      <xdr:colOff>342900</xdr:colOff>
      <xdr:row>19</xdr:row>
      <xdr:rowOff>28574</xdr:rowOff>
    </xdr:to>
    <xdr:pic>
      <xdr:nvPicPr>
        <xdr:cNvPr id="32" name="Graphic 31" descr="Business Growth">
          <a:extLst>
            <a:ext uri="{FF2B5EF4-FFF2-40B4-BE49-F238E27FC236}">
              <a16:creationId xmlns:a16="http://schemas.microsoft.com/office/drawing/2014/main" id="{A1EDCE00-B85B-4EBB-9C18-1C9B40F8B4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619626" y="3048000"/>
          <a:ext cx="600074" cy="600074"/>
        </a:xfrm>
        <a:prstGeom prst="rect">
          <a:avLst/>
        </a:prstGeom>
      </xdr:spPr>
    </xdr:pic>
    <xdr:clientData/>
  </xdr:twoCellAnchor>
  <xdr:twoCellAnchor editAs="oneCell">
    <xdr:from>
      <xdr:col>4</xdr:col>
      <xdr:colOff>0</xdr:colOff>
      <xdr:row>13</xdr:row>
      <xdr:rowOff>47624</xdr:rowOff>
    </xdr:from>
    <xdr:to>
      <xdr:col>4</xdr:col>
      <xdr:colOff>485775</xdr:colOff>
      <xdr:row>15</xdr:row>
      <xdr:rowOff>152399</xdr:rowOff>
    </xdr:to>
    <xdr:pic>
      <xdr:nvPicPr>
        <xdr:cNvPr id="34" name="Graphic 33" descr="Server">
          <a:extLst>
            <a:ext uri="{FF2B5EF4-FFF2-40B4-BE49-F238E27FC236}">
              <a16:creationId xmlns:a16="http://schemas.microsoft.com/office/drawing/2014/main" id="{4C93441C-AA66-437A-A495-6C556358DE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438400" y="2524124"/>
          <a:ext cx="485775" cy="485775"/>
        </a:xfrm>
        <a:prstGeom prst="rect">
          <a:avLst/>
        </a:prstGeom>
      </xdr:spPr>
    </xdr:pic>
    <xdr:clientData/>
  </xdr:twoCellAnchor>
  <xdr:twoCellAnchor editAs="oneCell">
    <xdr:from>
      <xdr:col>3</xdr:col>
      <xdr:colOff>333376</xdr:colOff>
      <xdr:row>16</xdr:row>
      <xdr:rowOff>9524</xdr:rowOff>
    </xdr:from>
    <xdr:to>
      <xdr:col>4</xdr:col>
      <xdr:colOff>295276</xdr:colOff>
      <xdr:row>19</xdr:row>
      <xdr:rowOff>9524</xdr:rowOff>
    </xdr:to>
    <xdr:pic>
      <xdr:nvPicPr>
        <xdr:cNvPr id="36" name="Graphic 35" descr="Dollar">
          <a:extLst>
            <a:ext uri="{FF2B5EF4-FFF2-40B4-BE49-F238E27FC236}">
              <a16:creationId xmlns:a16="http://schemas.microsoft.com/office/drawing/2014/main" id="{50889C2F-DA20-4D90-A8CD-01071A968D1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162176" y="3057524"/>
          <a:ext cx="571500" cy="571500"/>
        </a:xfrm>
        <a:prstGeom prst="rect">
          <a:avLst/>
        </a:prstGeom>
      </xdr:spPr>
    </xdr:pic>
    <xdr:clientData/>
  </xdr:twoCellAnchor>
  <xdr:twoCellAnchor editAs="oneCell">
    <xdr:from>
      <xdr:col>8</xdr:col>
      <xdr:colOff>38100</xdr:colOff>
      <xdr:row>13</xdr:row>
      <xdr:rowOff>19048</xdr:rowOff>
    </xdr:from>
    <xdr:to>
      <xdr:col>8</xdr:col>
      <xdr:colOff>581025</xdr:colOff>
      <xdr:row>15</xdr:row>
      <xdr:rowOff>180973</xdr:rowOff>
    </xdr:to>
    <xdr:pic>
      <xdr:nvPicPr>
        <xdr:cNvPr id="38" name="Graphic 37" descr="Bar chart">
          <a:extLst>
            <a:ext uri="{FF2B5EF4-FFF2-40B4-BE49-F238E27FC236}">
              <a16:creationId xmlns:a16="http://schemas.microsoft.com/office/drawing/2014/main" id="{F4EDFFBF-1205-4565-981B-FF183616675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914900" y="2495548"/>
          <a:ext cx="542925" cy="542925"/>
        </a:xfrm>
        <a:prstGeom prst="rect">
          <a:avLst/>
        </a:prstGeom>
      </xdr:spPr>
    </xdr:pic>
    <xdr:clientData/>
  </xdr:twoCellAnchor>
  <xdr:twoCellAnchor>
    <xdr:from>
      <xdr:col>5</xdr:col>
      <xdr:colOff>123825</xdr:colOff>
      <xdr:row>13</xdr:row>
      <xdr:rowOff>95249</xdr:rowOff>
    </xdr:from>
    <xdr:to>
      <xdr:col>7</xdr:col>
      <xdr:colOff>371475</xdr:colOff>
      <xdr:row>15</xdr:row>
      <xdr:rowOff>123824</xdr:rowOff>
    </xdr:to>
    <xdr:sp macro="" textlink="">
      <xdr:nvSpPr>
        <xdr:cNvPr id="39" name="Rectangle: Rounded Corners 38">
          <a:extLst>
            <a:ext uri="{FF2B5EF4-FFF2-40B4-BE49-F238E27FC236}">
              <a16:creationId xmlns:a16="http://schemas.microsoft.com/office/drawing/2014/main" id="{BCF809F6-587B-4AAA-BA55-38D553468BE8}"/>
            </a:ext>
          </a:extLst>
        </xdr:cNvPr>
        <xdr:cNvSpPr/>
      </xdr:nvSpPr>
      <xdr:spPr>
        <a:xfrm>
          <a:off x="3171825" y="2571749"/>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Data</a:t>
          </a:r>
          <a:r>
            <a:rPr lang="en-US" sz="1600" b="1" baseline="0">
              <a:solidFill>
                <a:schemeClr val="tx1"/>
              </a:solidFill>
            </a:rPr>
            <a:t> Analysis</a:t>
          </a:r>
          <a:endParaRPr lang="en-US" sz="1600" b="1">
            <a:solidFill>
              <a:schemeClr val="tx1"/>
            </a:solidFill>
          </a:endParaRPr>
        </a:p>
      </xdr:txBody>
    </xdr:sp>
    <xdr:clientData/>
  </xdr:twoCellAnchor>
  <xdr:twoCellAnchor>
    <xdr:from>
      <xdr:col>4</xdr:col>
      <xdr:colOff>104775</xdr:colOff>
      <xdr:row>15</xdr:row>
      <xdr:rowOff>171449</xdr:rowOff>
    </xdr:from>
    <xdr:to>
      <xdr:col>6</xdr:col>
      <xdr:colOff>352425</xdr:colOff>
      <xdr:row>18</xdr:row>
      <xdr:rowOff>9524</xdr:rowOff>
    </xdr:to>
    <xdr:sp macro="" textlink="">
      <xdr:nvSpPr>
        <xdr:cNvPr id="41" name="Rectangle: Rounded Corners 40">
          <a:extLst>
            <a:ext uri="{FF2B5EF4-FFF2-40B4-BE49-F238E27FC236}">
              <a16:creationId xmlns:a16="http://schemas.microsoft.com/office/drawing/2014/main" id="{8E3CDE53-D339-49F1-BE9E-FDBA74DAEFE2}"/>
            </a:ext>
          </a:extLst>
        </xdr:cNvPr>
        <xdr:cNvSpPr/>
      </xdr:nvSpPr>
      <xdr:spPr>
        <a:xfrm>
          <a:off x="2543175" y="3028949"/>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Total</a:t>
          </a:r>
          <a:r>
            <a:rPr lang="en-US" sz="1600" b="1" baseline="0">
              <a:solidFill>
                <a:schemeClr val="tx1"/>
              </a:solidFill>
            </a:rPr>
            <a:t> Amount</a:t>
          </a:r>
          <a:endParaRPr lang="en-US" sz="1600" b="1">
            <a:solidFill>
              <a:schemeClr val="tx1"/>
            </a:solidFill>
          </a:endParaRPr>
        </a:p>
      </xdr:txBody>
    </xdr:sp>
    <xdr:clientData/>
  </xdr:twoCellAnchor>
  <xdr:twoCellAnchor>
    <xdr:from>
      <xdr:col>8</xdr:col>
      <xdr:colOff>142875</xdr:colOff>
      <xdr:row>15</xdr:row>
      <xdr:rowOff>171449</xdr:rowOff>
    </xdr:from>
    <xdr:to>
      <xdr:col>10</xdr:col>
      <xdr:colOff>390525</xdr:colOff>
      <xdr:row>18</xdr:row>
      <xdr:rowOff>9524</xdr:rowOff>
    </xdr:to>
    <xdr:sp macro="" textlink="">
      <xdr:nvSpPr>
        <xdr:cNvPr id="42" name="Rectangle: Rounded Corners 41">
          <a:extLst>
            <a:ext uri="{FF2B5EF4-FFF2-40B4-BE49-F238E27FC236}">
              <a16:creationId xmlns:a16="http://schemas.microsoft.com/office/drawing/2014/main" id="{CAC065B0-9E4F-4E8F-931C-07DDFF8F9C4B}"/>
            </a:ext>
          </a:extLst>
        </xdr:cNvPr>
        <xdr:cNvSpPr/>
      </xdr:nvSpPr>
      <xdr:spPr>
        <a:xfrm>
          <a:off x="5019675" y="3028949"/>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Total</a:t>
          </a:r>
          <a:r>
            <a:rPr lang="en-US" sz="1600" b="1" baseline="0">
              <a:solidFill>
                <a:schemeClr val="tx1"/>
              </a:solidFill>
            </a:rPr>
            <a:t> Sales</a:t>
          </a:r>
          <a:endParaRPr lang="en-US" sz="1600" b="1">
            <a:solidFill>
              <a:schemeClr val="tx1"/>
            </a:solidFill>
          </a:endParaRPr>
        </a:p>
      </xdr:txBody>
    </xdr:sp>
    <xdr:clientData/>
  </xdr:twoCellAnchor>
  <xdr:twoCellAnchor>
    <xdr:from>
      <xdr:col>11</xdr:col>
      <xdr:colOff>171450</xdr:colOff>
      <xdr:row>14</xdr:row>
      <xdr:rowOff>190499</xdr:rowOff>
    </xdr:from>
    <xdr:to>
      <xdr:col>13</xdr:col>
      <xdr:colOff>419100</xdr:colOff>
      <xdr:row>17</xdr:row>
      <xdr:rowOff>28574</xdr:rowOff>
    </xdr:to>
    <xdr:sp macro="" textlink="">
      <xdr:nvSpPr>
        <xdr:cNvPr id="43" name="Rectangle: Rounded Corners 42">
          <a:extLst>
            <a:ext uri="{FF2B5EF4-FFF2-40B4-BE49-F238E27FC236}">
              <a16:creationId xmlns:a16="http://schemas.microsoft.com/office/drawing/2014/main" id="{CEEE83DF-3D81-48D3-B906-4A4DD4294005}"/>
            </a:ext>
          </a:extLst>
        </xdr:cNvPr>
        <xdr:cNvSpPr/>
      </xdr:nvSpPr>
      <xdr:spPr>
        <a:xfrm>
          <a:off x="6877050" y="2857499"/>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Reigonal</a:t>
          </a:r>
          <a:r>
            <a:rPr lang="en-US" sz="1600" b="1" baseline="0">
              <a:solidFill>
                <a:schemeClr val="tx1"/>
              </a:solidFill>
            </a:rPr>
            <a:t> Sales</a:t>
          </a:r>
          <a:endParaRPr lang="en-US" sz="1600" b="1">
            <a:solidFill>
              <a:schemeClr val="tx1"/>
            </a:solidFill>
          </a:endParaRPr>
        </a:p>
      </xdr:txBody>
    </xdr:sp>
    <xdr:clientData/>
  </xdr:twoCellAnchor>
  <xdr:twoCellAnchor>
    <xdr:from>
      <xdr:col>11</xdr:col>
      <xdr:colOff>142875</xdr:colOff>
      <xdr:row>25</xdr:row>
      <xdr:rowOff>19049</xdr:rowOff>
    </xdr:from>
    <xdr:to>
      <xdr:col>14</xdr:col>
      <xdr:colOff>504825</xdr:colOff>
      <xdr:row>27</xdr:row>
      <xdr:rowOff>47624</xdr:rowOff>
    </xdr:to>
    <xdr:sp macro="" textlink="">
      <xdr:nvSpPr>
        <xdr:cNvPr id="44" name="Rectangle: Rounded Corners 43">
          <a:extLst>
            <a:ext uri="{FF2B5EF4-FFF2-40B4-BE49-F238E27FC236}">
              <a16:creationId xmlns:a16="http://schemas.microsoft.com/office/drawing/2014/main" id="{2ECA290A-1855-4986-B42F-C464D5DE9491}"/>
            </a:ext>
          </a:extLst>
        </xdr:cNvPr>
        <xdr:cNvSpPr/>
      </xdr:nvSpPr>
      <xdr:spPr>
        <a:xfrm>
          <a:off x="6848475" y="4781549"/>
          <a:ext cx="21907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Monthly</a:t>
          </a:r>
          <a:r>
            <a:rPr lang="en-US" sz="1600" b="1" baseline="0">
              <a:solidFill>
                <a:schemeClr val="tx1"/>
              </a:solidFill>
            </a:rPr>
            <a:t> Sales Report</a:t>
          </a:r>
          <a:endParaRPr lang="en-US" sz="1600" b="1">
            <a:solidFill>
              <a:schemeClr val="tx1"/>
            </a:solidFill>
          </a:endParaRPr>
        </a:p>
      </xdr:txBody>
    </xdr:sp>
    <xdr:clientData/>
  </xdr:twoCellAnchor>
  <xdr:twoCellAnchor>
    <xdr:from>
      <xdr:col>3</xdr:col>
      <xdr:colOff>438150</xdr:colOff>
      <xdr:row>20</xdr:row>
      <xdr:rowOff>9524</xdr:rowOff>
    </xdr:from>
    <xdr:to>
      <xdr:col>6</xdr:col>
      <xdr:colOff>76200</xdr:colOff>
      <xdr:row>22</xdr:row>
      <xdr:rowOff>38099</xdr:rowOff>
    </xdr:to>
    <xdr:sp macro="" textlink="">
      <xdr:nvSpPr>
        <xdr:cNvPr id="45" name="Rectangle: Rounded Corners 44">
          <a:extLst>
            <a:ext uri="{FF2B5EF4-FFF2-40B4-BE49-F238E27FC236}">
              <a16:creationId xmlns:a16="http://schemas.microsoft.com/office/drawing/2014/main" id="{B21B7105-E735-43D3-99DA-D4321401E23E}"/>
            </a:ext>
          </a:extLst>
        </xdr:cNvPr>
        <xdr:cNvSpPr/>
      </xdr:nvSpPr>
      <xdr:spPr>
        <a:xfrm>
          <a:off x="2266950" y="3819524"/>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Products</a:t>
          </a:r>
          <a:r>
            <a:rPr lang="en-US" sz="1600" b="1" baseline="0">
              <a:solidFill>
                <a:schemeClr val="tx1"/>
              </a:solidFill>
            </a:rPr>
            <a:t> Sales</a:t>
          </a:r>
          <a:endParaRPr lang="en-US" sz="1600" b="1">
            <a:solidFill>
              <a:schemeClr val="tx1"/>
            </a:solidFill>
          </a:endParaRPr>
        </a:p>
      </xdr:txBody>
    </xdr:sp>
    <xdr:clientData/>
  </xdr:twoCellAnchor>
  <xdr:twoCellAnchor>
    <xdr:from>
      <xdr:col>11</xdr:col>
      <xdr:colOff>219075</xdr:colOff>
      <xdr:row>16</xdr:row>
      <xdr:rowOff>104775</xdr:rowOff>
    </xdr:from>
    <xdr:to>
      <xdr:col>19</xdr:col>
      <xdr:colOff>9525</xdr:colOff>
      <xdr:row>23</xdr:row>
      <xdr:rowOff>171449</xdr:rowOff>
    </xdr:to>
    <xdr:graphicFrame macro="">
      <xdr:nvGraphicFramePr>
        <xdr:cNvPr id="46" name="Chart 45">
          <a:extLst>
            <a:ext uri="{FF2B5EF4-FFF2-40B4-BE49-F238E27FC236}">
              <a16:creationId xmlns:a16="http://schemas.microsoft.com/office/drawing/2014/main" id="{2388BF12-912F-4F05-8033-024D2D778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381000</xdr:colOff>
      <xdr:row>27</xdr:row>
      <xdr:rowOff>9525</xdr:rowOff>
    </xdr:from>
    <xdr:to>
      <xdr:col>18</xdr:col>
      <xdr:colOff>542925</xdr:colOff>
      <xdr:row>34</xdr:row>
      <xdr:rowOff>95247</xdr:rowOff>
    </xdr:to>
    <xdr:graphicFrame macro="">
      <xdr:nvGraphicFramePr>
        <xdr:cNvPr id="48" name="Chart 47">
          <a:extLst>
            <a:ext uri="{FF2B5EF4-FFF2-40B4-BE49-F238E27FC236}">
              <a16:creationId xmlns:a16="http://schemas.microsoft.com/office/drawing/2014/main" id="{81137738-6CEC-4198-AA9C-F089BE0D5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466725</xdr:colOff>
      <xdr:row>21</xdr:row>
      <xdr:rowOff>28575</xdr:rowOff>
    </xdr:from>
    <xdr:to>
      <xdr:col>11</xdr:col>
      <xdr:colOff>123825</xdr:colOff>
      <xdr:row>34</xdr:row>
      <xdr:rowOff>1</xdr:rowOff>
    </xdr:to>
    <xdr:graphicFrame macro="">
      <xdr:nvGraphicFramePr>
        <xdr:cNvPr id="50" name="Chart 49">
          <a:extLst>
            <a:ext uri="{FF2B5EF4-FFF2-40B4-BE49-F238E27FC236}">
              <a16:creationId xmlns:a16="http://schemas.microsoft.com/office/drawing/2014/main" id="{41099771-3446-4B63-B6E1-B85FE1CC6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123825</xdr:colOff>
      <xdr:row>20</xdr:row>
      <xdr:rowOff>85724</xdr:rowOff>
    </xdr:from>
    <xdr:to>
      <xdr:col>10</xdr:col>
      <xdr:colOff>371475</xdr:colOff>
      <xdr:row>22</xdr:row>
      <xdr:rowOff>114299</xdr:rowOff>
    </xdr:to>
    <xdr:sp macro="" textlink="">
      <xdr:nvSpPr>
        <xdr:cNvPr id="52" name="Rectangle: Rounded Corners 51">
          <a:extLst>
            <a:ext uri="{FF2B5EF4-FFF2-40B4-BE49-F238E27FC236}">
              <a16:creationId xmlns:a16="http://schemas.microsoft.com/office/drawing/2014/main" id="{7AE3BAA2-C173-4954-A8D2-398B093EF794}"/>
            </a:ext>
          </a:extLst>
        </xdr:cNvPr>
        <xdr:cNvSpPr/>
      </xdr:nvSpPr>
      <xdr:spPr>
        <a:xfrm>
          <a:off x="5000625" y="3895724"/>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tx1"/>
            </a:solidFill>
          </a:endParaRPr>
        </a:p>
      </xdr:txBody>
    </xdr:sp>
    <xdr:clientData/>
  </xdr:twoCellAnchor>
  <xdr:twoCellAnchor>
    <xdr:from>
      <xdr:col>4</xdr:col>
      <xdr:colOff>257175</xdr:colOff>
      <xdr:row>16</xdr:row>
      <xdr:rowOff>133349</xdr:rowOff>
    </xdr:from>
    <xdr:to>
      <xdr:col>6</xdr:col>
      <xdr:colOff>504825</xdr:colOff>
      <xdr:row>18</xdr:row>
      <xdr:rowOff>161924</xdr:rowOff>
    </xdr:to>
    <xdr:sp macro="" textlink="">
      <xdr:nvSpPr>
        <xdr:cNvPr id="53" name="Rectangle: Rounded Corners 52">
          <a:extLst>
            <a:ext uri="{FF2B5EF4-FFF2-40B4-BE49-F238E27FC236}">
              <a16:creationId xmlns:a16="http://schemas.microsoft.com/office/drawing/2014/main" id="{128F95E9-6652-4CCD-8C7A-2E0C02A32F8A}"/>
            </a:ext>
          </a:extLst>
        </xdr:cNvPr>
        <xdr:cNvSpPr/>
      </xdr:nvSpPr>
      <xdr:spPr>
        <a:xfrm>
          <a:off x="2695575" y="3181349"/>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tx1"/>
            </a:solidFill>
          </a:endParaRPr>
        </a:p>
      </xdr:txBody>
    </xdr:sp>
    <xdr:clientData/>
  </xdr:twoCellAnchor>
  <xdr:twoCellAnchor editAs="oneCell">
    <xdr:from>
      <xdr:col>0</xdr:col>
      <xdr:colOff>190500</xdr:colOff>
      <xdr:row>1</xdr:row>
      <xdr:rowOff>152400</xdr:rowOff>
    </xdr:from>
    <xdr:to>
      <xdr:col>3</xdr:col>
      <xdr:colOff>142875</xdr:colOff>
      <xdr:row>11</xdr:row>
      <xdr:rowOff>28575</xdr:rowOff>
    </xdr:to>
    <xdr:pic>
      <xdr:nvPicPr>
        <xdr:cNvPr id="55" name="Picture 54">
          <a:extLst>
            <a:ext uri="{FF2B5EF4-FFF2-40B4-BE49-F238E27FC236}">
              <a16:creationId xmlns:a16="http://schemas.microsoft.com/office/drawing/2014/main" id="{6F937800-C6D6-4314-A72A-AD6B867A12D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90500" y="342900"/>
          <a:ext cx="1781175" cy="1781175"/>
        </a:xfrm>
        <a:prstGeom prst="rect">
          <a:avLst/>
        </a:prstGeom>
      </xdr:spPr>
    </xdr:pic>
    <xdr:clientData/>
  </xdr:twoCellAnchor>
  <xdr:twoCellAnchor>
    <xdr:from>
      <xdr:col>4</xdr:col>
      <xdr:colOff>19050</xdr:colOff>
      <xdr:row>17</xdr:row>
      <xdr:rowOff>19049</xdr:rowOff>
    </xdr:from>
    <xdr:to>
      <xdr:col>6</xdr:col>
      <xdr:colOff>266700</xdr:colOff>
      <xdr:row>19</xdr:row>
      <xdr:rowOff>47624</xdr:rowOff>
    </xdr:to>
    <xdr:sp macro="" textlink="'Pivot Table'!R12">
      <xdr:nvSpPr>
        <xdr:cNvPr id="56" name="Rectangle: Rounded Corners 55">
          <a:extLst>
            <a:ext uri="{FF2B5EF4-FFF2-40B4-BE49-F238E27FC236}">
              <a16:creationId xmlns:a16="http://schemas.microsoft.com/office/drawing/2014/main" id="{6765E23B-E418-4982-9612-01DD0F850571}"/>
            </a:ext>
          </a:extLst>
        </xdr:cNvPr>
        <xdr:cNvSpPr/>
      </xdr:nvSpPr>
      <xdr:spPr>
        <a:xfrm>
          <a:off x="2457450" y="3257549"/>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076E249-0135-4307-BD4D-D95F4BBBA3AF}" type="TxLink">
            <a:rPr lang="en-US" sz="1600" b="1" i="0" u="none" strike="noStrike">
              <a:solidFill>
                <a:srgbClr val="000000"/>
              </a:solidFill>
              <a:latin typeface="Calibri"/>
              <a:cs typeface="Calibri"/>
            </a:rPr>
            <a:t>23,333.00</a:t>
          </a:fld>
          <a:endParaRPr lang="en-US" sz="1600" b="1">
            <a:solidFill>
              <a:schemeClr val="tx1"/>
            </a:solidFill>
          </a:endParaRPr>
        </a:p>
      </xdr:txBody>
    </xdr:sp>
    <xdr:clientData/>
  </xdr:twoCellAnchor>
  <xdr:twoCellAnchor>
    <xdr:from>
      <xdr:col>8</xdr:col>
      <xdr:colOff>295275</xdr:colOff>
      <xdr:row>16</xdr:row>
      <xdr:rowOff>133349</xdr:rowOff>
    </xdr:from>
    <xdr:to>
      <xdr:col>10</xdr:col>
      <xdr:colOff>542925</xdr:colOff>
      <xdr:row>18</xdr:row>
      <xdr:rowOff>161924</xdr:rowOff>
    </xdr:to>
    <xdr:sp macro="" textlink="">
      <xdr:nvSpPr>
        <xdr:cNvPr id="57" name="Rectangle: Rounded Corners 56">
          <a:extLst>
            <a:ext uri="{FF2B5EF4-FFF2-40B4-BE49-F238E27FC236}">
              <a16:creationId xmlns:a16="http://schemas.microsoft.com/office/drawing/2014/main" id="{9EB94F92-3973-4659-8DD4-1947AABEC94B}"/>
            </a:ext>
          </a:extLst>
        </xdr:cNvPr>
        <xdr:cNvSpPr/>
      </xdr:nvSpPr>
      <xdr:spPr>
        <a:xfrm>
          <a:off x="5172075" y="3181349"/>
          <a:ext cx="14668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tx1"/>
            </a:solidFill>
          </a:endParaRPr>
        </a:p>
      </xdr:txBody>
    </xdr:sp>
    <xdr:clientData/>
  </xdr:twoCellAnchor>
  <xdr:twoCellAnchor>
    <xdr:from>
      <xdr:col>8</xdr:col>
      <xdr:colOff>95250</xdr:colOff>
      <xdr:row>17</xdr:row>
      <xdr:rowOff>38100</xdr:rowOff>
    </xdr:from>
    <xdr:to>
      <xdr:col>10</xdr:col>
      <xdr:colOff>304800</xdr:colOff>
      <xdr:row>19</xdr:row>
      <xdr:rowOff>38099</xdr:rowOff>
    </xdr:to>
    <xdr:sp macro="" textlink="">
      <xdr:nvSpPr>
        <xdr:cNvPr id="58" name="Rectangle: Rounded Corners 57">
          <a:extLst>
            <a:ext uri="{FF2B5EF4-FFF2-40B4-BE49-F238E27FC236}">
              <a16:creationId xmlns:a16="http://schemas.microsoft.com/office/drawing/2014/main" id="{E4F61A98-FA48-4F95-81D8-2D94BEC35E86}"/>
            </a:ext>
          </a:extLst>
        </xdr:cNvPr>
        <xdr:cNvSpPr/>
      </xdr:nvSpPr>
      <xdr:spPr>
        <a:xfrm>
          <a:off x="4972050" y="3276600"/>
          <a:ext cx="1428750" cy="38099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50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C" refreshedDate="46108.674859027778" createdVersion="6" refreshedVersion="6" minRefreshableVersion="3" recordCount="50" xr:uid="{2DC1D67C-7AB0-42C0-A126-853A86C7C1CA}">
  <cacheSource type="worksheet">
    <worksheetSource ref="A1:H51" sheet="Data set"/>
  </cacheSource>
  <cacheFields count="9">
    <cacheField name="S. NO" numFmtId="0">
      <sharedItems containsSemiMixedTypes="0" containsString="0" containsNumber="1" containsInteger="1" minValue="21051" maxValue="21100"/>
    </cacheField>
    <cacheField name="Date" numFmtId="167">
      <sharedItems containsSemiMixedTypes="0" containsNonDate="0" containsDate="1" containsString="0" minDate="2025-06-12T00:00:00" maxDate="2025-08-01T00:00:00" count="5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sharedItems>
      <fieldGroup par="8" base="1">
        <rangePr groupBy="days" startDate="2025-06-12T00:00:00" endDate="2025-08-01T00:00:00"/>
        <groupItems count="368">
          <s v="&lt;6/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2025"/>
        </groupItems>
      </fieldGroup>
    </cacheField>
    <cacheField name="Customre" numFmtId="0">
      <sharedItems/>
    </cacheField>
    <cacheField name="Region" numFmtId="0">
      <sharedItems count="4">
        <s v="North"/>
        <s v="South"/>
        <s v="Eset"/>
        <s v="West"/>
      </sharedItems>
    </cacheField>
    <cacheField name="Item " numFmtId="0">
      <sharedItems count="6">
        <s v="Desk Lamp"/>
        <s v="Pen Set"/>
        <s v="Chir"/>
        <s v="Nootbook"/>
        <s v="Charger"/>
        <s v="USB"/>
      </sharedItems>
    </cacheField>
    <cacheField name="Qty" numFmtId="0">
      <sharedItems containsSemiMixedTypes="0" containsString="0" containsNumber="1" containsInteger="1" minValue="13" maxValue="98"/>
    </cacheField>
    <cacheField name="Price" numFmtId="44">
      <sharedItems containsString="0" containsBlank="1" containsNumber="1" containsInteger="1" minValue="2" maxValue="20"/>
    </cacheField>
    <cacheField name="Amount" numFmtId="173">
      <sharedItems containsSemiMixedTypes="0" containsString="0" containsNumber="1" containsInteger="1" minValue="0" maxValue="1470"/>
    </cacheField>
    <cacheField name="Months" numFmtId="0" databaseField="0">
      <fieldGroup base="1">
        <rangePr groupBy="months" startDate="2025-06-12T00:00:00" endDate="2025-08-01T00:00:00"/>
        <groupItems count="14">
          <s v="&lt;6/12/2025"/>
          <s v="Jan"/>
          <s v="Feb"/>
          <s v="Mar"/>
          <s v="Apr"/>
          <s v="May"/>
          <s v="Jun"/>
          <s v="Jul"/>
          <s v="Aug"/>
          <s v="Sep"/>
          <s v="Oct"/>
          <s v="Nov"/>
          <s v="Dec"/>
          <s v="&gt;8/1/2025"/>
        </groupItems>
      </fieldGroup>
    </cacheField>
  </cacheFields>
  <extLst>
    <ext xmlns:x14="http://schemas.microsoft.com/office/spreadsheetml/2009/9/main" uri="{725AE2AE-9491-48be-B2B4-4EB974FC3084}">
      <x14:pivotCacheDefinition pivotCacheId="2019830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21051"/>
    <x v="0"/>
    <s v="Muhammad"/>
    <x v="0"/>
    <x v="0"/>
    <n v="20"/>
    <n v="10"/>
    <n v="200"/>
  </r>
  <r>
    <n v="21052"/>
    <x v="1"/>
    <s v="Noah"/>
    <x v="1"/>
    <x v="1"/>
    <n v="25"/>
    <n v="5"/>
    <n v="125"/>
  </r>
  <r>
    <n v="21053"/>
    <x v="2"/>
    <s v="Oliver"/>
    <x v="2"/>
    <x v="2"/>
    <n v="62"/>
    <n v="20"/>
    <n v="1240"/>
  </r>
  <r>
    <n v="21054"/>
    <x v="3"/>
    <s v="George"/>
    <x v="3"/>
    <x v="3"/>
    <n v="62"/>
    <n v="2"/>
    <n v="124"/>
  </r>
  <r>
    <n v="21055"/>
    <x v="4"/>
    <s v="Leo"/>
    <x v="0"/>
    <x v="2"/>
    <n v="52"/>
    <n v="20"/>
    <n v="1040"/>
  </r>
  <r>
    <n v="21056"/>
    <x v="5"/>
    <s v="Theo"/>
    <x v="1"/>
    <x v="1"/>
    <n v="50"/>
    <n v="5"/>
    <n v="250"/>
  </r>
  <r>
    <n v="21057"/>
    <x v="6"/>
    <s v="Arthur"/>
    <x v="2"/>
    <x v="0"/>
    <n v="40"/>
    <n v="10"/>
    <n v="400"/>
  </r>
  <r>
    <n v="21058"/>
    <x v="7"/>
    <s v="Freddie"/>
    <x v="3"/>
    <x v="4"/>
    <n v="62"/>
    <n v="15"/>
    <n v="930"/>
  </r>
  <r>
    <n v="21059"/>
    <x v="8"/>
    <s v="Archie"/>
    <x v="0"/>
    <x v="1"/>
    <n v="52"/>
    <n v="5"/>
    <n v="260"/>
  </r>
  <r>
    <n v="21060"/>
    <x v="9"/>
    <s v="Henry"/>
    <x v="1"/>
    <x v="4"/>
    <n v="80"/>
    <n v="15"/>
    <n v="1200"/>
  </r>
  <r>
    <n v="21061"/>
    <x v="10"/>
    <s v="Oscar"/>
    <x v="2"/>
    <x v="1"/>
    <n v="30"/>
    <n v="5"/>
    <n v="150"/>
  </r>
  <r>
    <n v="21062"/>
    <x v="11"/>
    <s v="Jude"/>
    <x v="3"/>
    <x v="3"/>
    <n v="32"/>
    <n v="2"/>
    <n v="64"/>
  </r>
  <r>
    <n v="21063"/>
    <x v="12"/>
    <s v="Alfie"/>
    <x v="0"/>
    <x v="0"/>
    <n v="32"/>
    <n v="10"/>
    <n v="320"/>
  </r>
  <r>
    <n v="21064"/>
    <x v="13"/>
    <s v="Charlie"/>
    <x v="1"/>
    <x v="1"/>
    <n v="50"/>
    <n v="5"/>
    <n v="250"/>
  </r>
  <r>
    <n v="21065"/>
    <x v="14"/>
    <s v="Jack"/>
    <x v="2"/>
    <x v="4"/>
    <n v="98"/>
    <n v="15"/>
    <n v="1470"/>
  </r>
  <r>
    <n v="21066"/>
    <x v="15"/>
    <s v="Arlo"/>
    <x v="3"/>
    <x v="2"/>
    <n v="65"/>
    <n v="20"/>
    <n v="1300"/>
  </r>
  <r>
    <n v="21067"/>
    <x v="16"/>
    <s v="Luca"/>
    <x v="0"/>
    <x v="1"/>
    <n v="35"/>
    <n v="5"/>
    <n v="175"/>
  </r>
  <r>
    <n v="21068"/>
    <x v="17"/>
    <s v="Teddy"/>
    <x v="1"/>
    <x v="0"/>
    <n v="84"/>
    <n v="10"/>
    <n v="840"/>
  </r>
  <r>
    <n v="21069"/>
    <x v="18"/>
    <s v="Harry"/>
    <x v="2"/>
    <x v="5"/>
    <n v="51"/>
    <n v="6"/>
    <n v="306"/>
  </r>
  <r>
    <n v="21070"/>
    <x v="19"/>
    <s v="Albie"/>
    <x v="3"/>
    <x v="1"/>
    <n v="68"/>
    <n v="5"/>
    <n v="340"/>
  </r>
  <r>
    <n v="21071"/>
    <x v="20"/>
    <s v="Finley"/>
    <x v="0"/>
    <x v="3"/>
    <n v="25"/>
    <n v="2"/>
    <n v="50"/>
  </r>
  <r>
    <n v="21072"/>
    <x v="21"/>
    <s v="Jacob"/>
    <x v="1"/>
    <x v="3"/>
    <n v="95"/>
    <n v="2"/>
    <n v="190"/>
  </r>
  <r>
    <n v="21073"/>
    <x v="22"/>
    <s v="Thomas"/>
    <x v="2"/>
    <x v="5"/>
    <n v="25"/>
    <n v="6"/>
    <n v="150"/>
  </r>
  <r>
    <n v="21074"/>
    <x v="23"/>
    <s v="William"/>
    <x v="3"/>
    <x v="0"/>
    <n v="62"/>
    <n v="10"/>
    <n v="620"/>
  </r>
  <r>
    <n v="21075"/>
    <x v="24"/>
    <s v="Isaac"/>
    <x v="0"/>
    <x v="1"/>
    <n v="35"/>
    <n v="5"/>
    <n v="175"/>
  </r>
  <r>
    <n v="21076"/>
    <x v="25"/>
    <s v="Isaac"/>
    <x v="1"/>
    <x v="2"/>
    <n v="69"/>
    <n v="20"/>
    <n v="1380"/>
  </r>
  <r>
    <n v="21077"/>
    <x v="26"/>
    <s v="Olivia"/>
    <x v="2"/>
    <x v="3"/>
    <n v="25"/>
    <n v="2"/>
    <n v="50"/>
  </r>
  <r>
    <n v="21078"/>
    <x v="27"/>
    <s v="Amelia"/>
    <x v="3"/>
    <x v="5"/>
    <n v="36"/>
    <n v="6"/>
    <n v="216"/>
  </r>
  <r>
    <n v="21079"/>
    <x v="28"/>
    <s v="Isla"/>
    <x v="0"/>
    <x v="3"/>
    <n v="54"/>
    <n v="2"/>
    <n v="108"/>
  </r>
  <r>
    <n v="21080"/>
    <x v="29"/>
    <s v="Lily"/>
    <x v="1"/>
    <x v="4"/>
    <n v="48"/>
    <n v="15"/>
    <n v="720"/>
  </r>
  <r>
    <n v="21081"/>
    <x v="30"/>
    <s v="Freya"/>
    <x v="2"/>
    <x v="0"/>
    <n v="82"/>
    <n v="10"/>
    <n v="820"/>
  </r>
  <r>
    <n v="21082"/>
    <x v="31"/>
    <s v="Ivy"/>
    <x v="3"/>
    <x v="2"/>
    <n v="62"/>
    <n v="20"/>
    <n v="1240"/>
  </r>
  <r>
    <n v="21083"/>
    <x v="32"/>
    <s v="lorence"/>
    <x v="0"/>
    <x v="3"/>
    <n v="38"/>
    <n v="2"/>
    <n v="76"/>
  </r>
  <r>
    <n v="21084"/>
    <x v="33"/>
    <s v="Poppy"/>
    <x v="1"/>
    <x v="0"/>
    <n v="75"/>
    <n v="10"/>
    <n v="750"/>
  </r>
  <r>
    <n v="21085"/>
    <x v="34"/>
    <s v="Willow"/>
    <x v="2"/>
    <x v="1"/>
    <n v="65"/>
    <n v="5"/>
    <n v="325"/>
  </r>
  <r>
    <n v="21086"/>
    <x v="35"/>
    <s v="Rosie"/>
    <x v="3"/>
    <x v="1"/>
    <n v="58"/>
    <n v="5"/>
    <n v="290"/>
  </r>
  <r>
    <n v="21087"/>
    <x v="36"/>
    <s v="Sienna"/>
    <x v="0"/>
    <x v="0"/>
    <n v="24"/>
    <n v="10"/>
    <n v="240"/>
  </r>
  <r>
    <n v="21088"/>
    <x v="37"/>
    <s v="Elsie"/>
    <x v="1"/>
    <x v="2"/>
    <n v="62"/>
    <n v="20"/>
    <n v="1240"/>
  </r>
  <r>
    <n v="21089"/>
    <x v="38"/>
    <s v="Sophia"/>
    <x v="2"/>
    <x v="3"/>
    <n v="62"/>
    <n v="2"/>
    <n v="124"/>
  </r>
  <r>
    <n v="21090"/>
    <x v="39"/>
    <s v="Mia"/>
    <x v="3"/>
    <x v="5"/>
    <n v="98"/>
    <n v="6"/>
    <n v="588"/>
  </r>
  <r>
    <n v="21091"/>
    <x v="40"/>
    <s v=" Aria"/>
    <x v="0"/>
    <x v="1"/>
    <n v="80"/>
    <n v="5"/>
    <n v="400"/>
  </r>
  <r>
    <n v="21092"/>
    <x v="41"/>
    <s v=" Maya"/>
    <x v="1"/>
    <x v="2"/>
    <n v="50"/>
    <m/>
    <n v="0"/>
  </r>
  <r>
    <n v="21093"/>
    <x v="42"/>
    <s v="Daisy"/>
    <x v="2"/>
    <x v="3"/>
    <n v="61"/>
    <n v="2"/>
    <n v="122"/>
  </r>
  <r>
    <n v="21094"/>
    <x v="43"/>
    <s v="Evelyn"/>
    <x v="3"/>
    <x v="4"/>
    <n v="20"/>
    <n v="15"/>
    <n v="300"/>
  </r>
  <r>
    <n v="21095"/>
    <x v="44"/>
    <s v="Alice"/>
    <x v="0"/>
    <x v="0"/>
    <n v="36"/>
    <n v="10"/>
    <n v="360"/>
  </r>
  <r>
    <n v="21096"/>
    <x v="45"/>
    <s v="Phoebe"/>
    <x v="1"/>
    <x v="1"/>
    <n v="56"/>
    <n v="5"/>
    <n v="280"/>
  </r>
  <r>
    <n v="21097"/>
    <x v="46"/>
    <s v="Charlotte"/>
    <x v="2"/>
    <x v="5"/>
    <n v="13"/>
    <n v="15"/>
    <n v="195"/>
  </r>
  <r>
    <n v="21098"/>
    <x v="47"/>
    <s v="Evie"/>
    <x v="3"/>
    <x v="3"/>
    <n v="51"/>
    <n v="10"/>
    <n v="510"/>
  </r>
  <r>
    <n v="21099"/>
    <x v="48"/>
    <s v="Ada"/>
    <x v="0"/>
    <x v="1"/>
    <n v="54"/>
    <n v="5"/>
    <n v="270"/>
  </r>
  <r>
    <n v="21100"/>
    <x v="49"/>
    <s v="Grace"/>
    <x v="1"/>
    <x v="0"/>
    <n v="56"/>
    <n v="10"/>
    <n v="5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C96FC5-771B-4738-99C2-9D67A3E2688E}" name="PivotTable11"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1">
  <location ref="Q4:Q5" firstHeaderRow="1" firstDataRow="1" firstDataCol="0"/>
  <pivotFields count="9">
    <pivotField showAll="0"/>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0"/>
        <item x="1"/>
        <item x="3"/>
        <item t="default"/>
      </items>
    </pivotField>
    <pivotField showAll="0">
      <items count="7">
        <item x="4"/>
        <item x="2"/>
        <item x="0"/>
        <item x="3"/>
        <item x="1"/>
        <item x="5"/>
        <item t="default"/>
      </items>
    </pivotField>
    <pivotField showAll="0"/>
    <pivotField showAll="0"/>
    <pivotField dataField="1" numFmtId="173" showAll="0"/>
    <pivotField showAll="0" sortType="descending">
      <items count="15">
        <item sd="0" x="13"/>
        <item sd="0" x="0"/>
        <item sd="0" x="12"/>
        <item sd="0" x="11"/>
        <item sd="0" x="10"/>
        <item sd="0" x="9"/>
        <item sd="0" x="8"/>
        <item sd="0" x="7"/>
        <item sd="0" x="6"/>
        <item sd="0" x="5"/>
        <item sd="0" x="4"/>
        <item sd="0" x="3"/>
        <item sd="0" x="2"/>
        <item sd="0" x="1"/>
        <item t="default"/>
      </items>
    </pivotField>
  </pivotFields>
  <rowItems count="1">
    <i/>
  </rowItems>
  <colItems count="1">
    <i/>
  </colItems>
  <dataFields count="1">
    <dataField name="Count of Amount" fld="7" subtotal="count" baseField="0" baseItem="889096571"/>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B4E05B-A7D0-4E5E-BD25-F866D7E48EC2}" name="PivotTable10"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1">
  <location ref="Q11:Q12" firstHeaderRow="1" firstDataRow="1" firstDataCol="0"/>
  <pivotFields count="9">
    <pivotField showAll="0"/>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0"/>
        <item x="1"/>
        <item x="3"/>
        <item t="default"/>
      </items>
    </pivotField>
    <pivotField showAll="0">
      <items count="7">
        <item x="4"/>
        <item x="2"/>
        <item x="0"/>
        <item x="3"/>
        <item x="1"/>
        <item x="5"/>
        <item t="default"/>
      </items>
    </pivotField>
    <pivotField showAll="0"/>
    <pivotField showAll="0"/>
    <pivotField dataField="1" numFmtId="173" showAll="0"/>
    <pivotField showAll="0" sortType="descending">
      <items count="15">
        <item sd="0" x="13"/>
        <item sd="0" x="0"/>
        <item sd="0" x="12"/>
        <item sd="0" x="11"/>
        <item sd="0" x="10"/>
        <item sd="0" x="9"/>
        <item sd="0" x="8"/>
        <item sd="0" x="7"/>
        <item sd="0" x="6"/>
        <item sd="0" x="5"/>
        <item sd="0" x="4"/>
        <item sd="0" x="3"/>
        <item sd="0" x="2"/>
        <item sd="0" x="1"/>
        <item t="default"/>
      </items>
    </pivotField>
  </pivotFields>
  <rowItems count="1">
    <i/>
  </rowItems>
  <colItems count="1">
    <i/>
  </colItems>
  <dataFields count="1">
    <dataField name="Sum of Amount" fld="7"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8F93E-E9D2-4836-AE74-A17462E6203C}" name="PivotTable9"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1">
  <location ref="N6:O13" firstHeaderRow="1" firstDataRow="1" firstDataCol="1"/>
  <pivotFields count="9">
    <pivotField showAll="0"/>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0"/>
        <item x="1"/>
        <item x="3"/>
        <item t="default"/>
      </items>
    </pivotField>
    <pivotField axis="axisRow" showAll="0">
      <items count="7">
        <item x="4"/>
        <item x="2"/>
        <item x="0"/>
        <item x="3"/>
        <item x="1"/>
        <item x="5"/>
        <item t="default"/>
      </items>
    </pivotField>
    <pivotField showAll="0"/>
    <pivotField showAll="0"/>
    <pivotField dataField="1" numFmtId="173" showAll="0"/>
    <pivotField showAll="0" sortType="descending">
      <items count="15">
        <item sd="0" x="13"/>
        <item sd="0" x="0"/>
        <item sd="0" x="12"/>
        <item sd="0" x="11"/>
        <item sd="0" x="10"/>
        <item sd="0" x="9"/>
        <item sd="0" x="8"/>
        <item sd="0" x="7"/>
        <item sd="0" x="6"/>
        <item sd="0" x="5"/>
        <item sd="0" x="4"/>
        <item sd="0" x="3"/>
        <item sd="0" x="2"/>
        <item sd="0" x="1"/>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8BBE75-5B1B-454E-8334-B766C1BA08B7}" name="PivotTable8"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location ref="K2:L5" firstHeaderRow="1" firstDataRow="1" firstDataCol="1"/>
  <pivotFields count="9">
    <pivotField showAll="0"/>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0"/>
        <item x="1"/>
        <item x="3"/>
        <item t="default"/>
      </items>
    </pivotField>
    <pivotField showAll="0">
      <items count="7">
        <item x="4"/>
        <item x="2"/>
        <item x="0"/>
        <item x="3"/>
        <item x="1"/>
        <item x="5"/>
        <item t="default"/>
      </items>
    </pivotField>
    <pivotField showAll="0"/>
    <pivotField showAll="0"/>
    <pivotField dataField="1" numFmtId="173" showAll="0"/>
    <pivotField axis="axisRow" showAll="0" sortType="descending">
      <items count="15">
        <item sd="0" x="13"/>
        <item sd="0" x="0"/>
        <item sd="0" x="12"/>
        <item sd="0" x="11"/>
        <item sd="0" x="10"/>
        <item sd="0" x="9"/>
        <item sd="0" x="8"/>
        <item sd="0" x="7"/>
        <item sd="0" x="6"/>
        <item sd="0" x="5"/>
        <item sd="0" x="4"/>
        <item sd="0" x="3"/>
        <item sd="0" x="2"/>
        <item sd="0" x="1"/>
        <item t="default"/>
      </items>
    </pivotField>
  </pivotFields>
  <rowFields count="1">
    <field x="8"/>
  </rowFields>
  <rowItems count="3">
    <i>
      <x v="7"/>
    </i>
    <i>
      <x v="8"/>
    </i>
    <i t="grand">
      <x/>
    </i>
  </rowItems>
  <colItems count="1">
    <i/>
  </colItems>
  <dataFields count="1">
    <dataField name="Sum of Amount" fld="7"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945FB6-B52D-48F7-AACA-2AB6791C7B1A}" name="PivotTable7"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H1:I6" firstHeaderRow="1" firstDataRow="1" firstDataCol="1"/>
  <pivotFields count="9">
    <pivotField showAll="0"/>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2"/>
        <item x="0"/>
        <item x="1"/>
        <item x="3"/>
        <item t="default"/>
      </items>
    </pivotField>
    <pivotField showAll="0">
      <items count="7">
        <item x="4"/>
        <item x="2"/>
        <item x="0"/>
        <item x="3"/>
        <item x="1"/>
        <item x="5"/>
        <item t="default"/>
      </items>
    </pivotField>
    <pivotField showAll="0"/>
    <pivotField showAll="0"/>
    <pivotField dataField="1" numFmtId="173"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D54231-E87E-4694-9061-06E2963ACFD9}" name="PivotTable6"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D1:D8" firstHeaderRow="1" firstDataRow="1" firstDataCol="1"/>
  <pivotFields count="9">
    <pivotField showAll="0"/>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0"/>
        <item x="1"/>
        <item x="3"/>
        <item t="default"/>
      </items>
    </pivotField>
    <pivotField axis="axisRow" showAll="0">
      <items count="7">
        <item x="4"/>
        <item x="2"/>
        <item x="0"/>
        <item x="3"/>
        <item x="1"/>
        <item x="5"/>
        <item t="default"/>
      </items>
    </pivotField>
    <pivotField showAll="0"/>
    <pivotField showAll="0"/>
    <pivotField numFmtId="173"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82527-1AD0-47EA-9BD2-03BDBBAB4327}" name="PivotTable5"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B6" firstHeaderRow="1" firstDataRow="1" firstDataCol="1"/>
  <pivotFields count="9">
    <pivotField showAll="0"/>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2"/>
        <item x="0"/>
        <item x="1"/>
        <item x="3"/>
        <item t="default"/>
      </items>
    </pivotField>
    <pivotField showAll="0"/>
    <pivotField showAll="0"/>
    <pivotField showAll="0"/>
    <pivotField numFmtId="173"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1638A1-1ECD-4EC6-BAF8-ABC43E42BF53}" name="PivotTable4" cacheId="1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A4" firstHeaderRow="1" firstDataRow="1" firstDataCol="1"/>
  <pivotFields count="9">
    <pivotField showAll="0"/>
    <pivotField axis="axisRow"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numFmtId="173"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1"/>
  </rowFields>
  <rowItems count="3">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07A07D-A89C-4032-8B9A-6A22E052CDCC}" sourceName="Region">
  <pivotTables>
    <pivotTable tabId="3" name="PivotTable5"/>
    <pivotTable tabId="3" name="PivotTable6"/>
    <pivotTable tabId="3" name="PivotTable7"/>
    <pivotTable tabId="3" name="PivotTable8"/>
    <pivotTable tabId="3" name="PivotTable9"/>
    <pivotTable tabId="3" name="PivotTable10"/>
    <pivotTable tabId="3" name="PivotTable11"/>
  </pivotTables>
  <data>
    <tabular pivotCacheId="201983023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66755A5-F7E4-4CBC-8CEA-D59DB9B3820A}" sourceName="Item ">
  <pivotTables>
    <pivotTable tabId="3" name="PivotTable6"/>
    <pivotTable tabId="3" name="PivotTable7"/>
    <pivotTable tabId="3" name="PivotTable8"/>
    <pivotTable tabId="3" name="PivotTable9"/>
    <pivotTable tabId="3" name="PivotTable10"/>
    <pivotTable tabId="3" name="PivotTable11"/>
  </pivotTables>
  <data>
    <tabular pivotCacheId="2019830234">
      <items count="6">
        <i x="4" s="1"/>
        <i x="2" s="1"/>
        <i x="0"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AF5797-7CED-4679-AE4C-E32F025916C0}" cache="Slicer_Region" caption="Region" columnCount="2" rowHeight="241300"/>
  <slicer name="Item " xr10:uid="{6EADED21-9BB9-42C7-A8F8-0EF8DC8760FA}" cache="Slicer_Item" caption="Item " columnCount="6"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6E81E5A-8418-4DFA-8678-2CDE72C169C1}" cache="Slicer_Region" caption="Region" columnCount="2" rowHeight="241300"/>
  <slicer name="Item  1" xr10:uid="{9AA12E5F-03A5-4188-9F90-312B5A0706FA}" cache="Slicer_Item" caption="Item " columnCount="6"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4666340-D191-4E0B-98A0-321482F1A565}" sourceName="Date">
  <pivotTables>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state minimalRefreshVersion="6" lastRefreshVersion="6" pivotCacheId="201983023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379EA99-69EB-41D6-B1E5-3CC79BF3D746}" cache="NativeTimeline_Date" caption="Date" showHeader="0" showSelectionLabel="0" showTimeLevel="0" showHorizontalScrollbar="0" level="2" selectionLevel="2" scrollPosition="2025-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A9386EB-60FF-472E-8179-097C4C5D76DC}" cache="NativeTimeline_Date" caption="Date" showHeader="0" showSelectionLabel="0" showTimeLevel="0" showHorizontalScrollbar="0" level="2" selectionLevel="2" scrollPosition="2025-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5DFF-7C17-47F5-94D3-7653412BEBA9}">
  <dimension ref="A1:J102"/>
  <sheetViews>
    <sheetView zoomScale="208" zoomScaleNormal="208" workbookViewId="0">
      <selection activeCell="B2" sqref="B2"/>
    </sheetView>
  </sheetViews>
  <sheetFormatPr defaultRowHeight="15" x14ac:dyDescent="0.25"/>
  <cols>
    <col min="2" max="2" width="12" style="2" customWidth="1"/>
    <col min="3" max="3" width="14.7109375" customWidth="1"/>
    <col min="5" max="5" width="12.5703125" style="1" customWidth="1"/>
    <col min="6" max="6" width="12.5703125" style="4" customWidth="1"/>
    <col min="7" max="7" width="11.28515625" style="7" customWidth="1"/>
    <col min="8" max="8" width="12.7109375" style="8" customWidth="1"/>
  </cols>
  <sheetData>
    <row r="1" spans="1:10" ht="15.75" x14ac:dyDescent="0.25">
      <c r="A1" s="9" t="s">
        <v>0</v>
      </c>
      <c r="B1" s="10" t="s">
        <v>1</v>
      </c>
      <c r="C1" s="11" t="s">
        <v>2</v>
      </c>
      <c r="D1" s="12" t="s">
        <v>3</v>
      </c>
      <c r="E1" s="12" t="s">
        <v>4</v>
      </c>
      <c r="F1" s="12" t="s">
        <v>5</v>
      </c>
      <c r="G1" s="13" t="s">
        <v>6</v>
      </c>
      <c r="H1" s="14" t="s">
        <v>7</v>
      </c>
    </row>
    <row r="2" spans="1:10" x14ac:dyDescent="0.25">
      <c r="A2" s="1">
        <v>21051</v>
      </c>
      <c r="B2" s="3">
        <v>45820</v>
      </c>
      <c r="C2" t="s">
        <v>8</v>
      </c>
      <c r="D2" t="s">
        <v>57</v>
      </c>
      <c r="E2" s="1" t="s">
        <v>61</v>
      </c>
      <c r="F2" s="4">
        <v>20</v>
      </c>
      <c r="G2" s="7">
        <v>10</v>
      </c>
      <c r="H2" s="8">
        <f>G2*F2</f>
        <v>200</v>
      </c>
      <c r="J2" s="5"/>
    </row>
    <row r="3" spans="1:10" x14ac:dyDescent="0.25">
      <c r="A3" s="1">
        <v>21052</v>
      </c>
      <c r="B3" s="3">
        <v>45821</v>
      </c>
      <c r="C3" t="s">
        <v>10</v>
      </c>
      <c r="D3" t="s">
        <v>58</v>
      </c>
      <c r="E3" s="1" t="s">
        <v>62</v>
      </c>
      <c r="F3" s="4">
        <v>25</v>
      </c>
      <c r="G3" s="7">
        <v>5</v>
      </c>
      <c r="H3" s="8">
        <f t="shared" ref="H3:H51" si="0">G3*F3</f>
        <v>125</v>
      </c>
      <c r="J3" s="5"/>
    </row>
    <row r="4" spans="1:10" x14ac:dyDescent="0.25">
      <c r="A4" s="1">
        <v>21053</v>
      </c>
      <c r="B4" s="3">
        <v>45822</v>
      </c>
      <c r="C4" t="s">
        <v>12</v>
      </c>
      <c r="D4" t="s">
        <v>59</v>
      </c>
      <c r="E4" s="1" t="s">
        <v>63</v>
      </c>
      <c r="F4" s="4">
        <v>62</v>
      </c>
      <c r="G4" s="7">
        <v>20</v>
      </c>
      <c r="H4" s="8">
        <f t="shared" si="0"/>
        <v>1240</v>
      </c>
      <c r="J4" s="5"/>
    </row>
    <row r="5" spans="1:10" x14ac:dyDescent="0.25">
      <c r="A5" s="1">
        <v>21054</v>
      </c>
      <c r="B5" s="3">
        <v>45823</v>
      </c>
      <c r="C5" t="s">
        <v>14</v>
      </c>
      <c r="D5" t="s">
        <v>60</v>
      </c>
      <c r="E5" s="1" t="s">
        <v>64</v>
      </c>
      <c r="F5" s="4">
        <v>62</v>
      </c>
      <c r="G5" s="7">
        <v>2</v>
      </c>
      <c r="H5" s="8">
        <f t="shared" si="0"/>
        <v>124</v>
      </c>
      <c r="J5" s="5"/>
    </row>
    <row r="6" spans="1:10" x14ac:dyDescent="0.25">
      <c r="A6" s="1">
        <v>21055</v>
      </c>
      <c r="B6" s="3">
        <v>45824</v>
      </c>
      <c r="C6" t="s">
        <v>16</v>
      </c>
      <c r="D6" t="s">
        <v>57</v>
      </c>
      <c r="E6" s="1" t="s">
        <v>63</v>
      </c>
      <c r="F6" s="4">
        <v>52</v>
      </c>
      <c r="G6" s="7">
        <v>20</v>
      </c>
      <c r="H6" s="8">
        <f t="shared" si="0"/>
        <v>1040</v>
      </c>
      <c r="J6" s="5"/>
    </row>
    <row r="7" spans="1:10" x14ac:dyDescent="0.25">
      <c r="A7" s="1">
        <v>21056</v>
      </c>
      <c r="B7" s="3">
        <v>45825</v>
      </c>
      <c r="C7" t="s">
        <v>18</v>
      </c>
      <c r="D7" t="s">
        <v>58</v>
      </c>
      <c r="E7" s="1" t="s">
        <v>62</v>
      </c>
      <c r="F7" s="4">
        <v>50</v>
      </c>
      <c r="G7" s="7">
        <v>5</v>
      </c>
      <c r="H7" s="8">
        <f t="shared" si="0"/>
        <v>250</v>
      </c>
      <c r="J7" s="5"/>
    </row>
    <row r="8" spans="1:10" x14ac:dyDescent="0.25">
      <c r="A8" s="1">
        <v>21057</v>
      </c>
      <c r="B8" s="3">
        <v>45826</v>
      </c>
      <c r="C8" t="s">
        <v>20</v>
      </c>
      <c r="D8" t="s">
        <v>59</v>
      </c>
      <c r="E8" s="1" t="s">
        <v>61</v>
      </c>
      <c r="F8" s="4">
        <v>40</v>
      </c>
      <c r="G8" s="7">
        <v>10</v>
      </c>
      <c r="H8" s="8">
        <f t="shared" si="0"/>
        <v>400</v>
      </c>
      <c r="J8" s="5"/>
    </row>
    <row r="9" spans="1:10" x14ac:dyDescent="0.25">
      <c r="A9" s="1">
        <v>21058</v>
      </c>
      <c r="B9" s="3">
        <v>45827</v>
      </c>
      <c r="C9" t="s">
        <v>21</v>
      </c>
      <c r="D9" t="s">
        <v>60</v>
      </c>
      <c r="E9" s="1" t="s">
        <v>65</v>
      </c>
      <c r="F9" s="4">
        <v>62</v>
      </c>
      <c r="G9" s="7">
        <v>15</v>
      </c>
      <c r="H9" s="8">
        <f t="shared" si="0"/>
        <v>930</v>
      </c>
      <c r="I9" s="5"/>
    </row>
    <row r="10" spans="1:10" x14ac:dyDescent="0.25">
      <c r="A10" s="1">
        <v>21059</v>
      </c>
      <c r="B10" s="3">
        <v>45828</v>
      </c>
      <c r="C10" t="s">
        <v>23</v>
      </c>
      <c r="D10" t="s">
        <v>57</v>
      </c>
      <c r="E10" s="1" t="s">
        <v>62</v>
      </c>
      <c r="F10" s="4">
        <v>52</v>
      </c>
      <c r="G10" s="7">
        <v>5</v>
      </c>
      <c r="H10" s="8">
        <f t="shared" si="0"/>
        <v>260</v>
      </c>
      <c r="J10" s="5"/>
    </row>
    <row r="11" spans="1:10" x14ac:dyDescent="0.25">
      <c r="A11" s="1">
        <v>21060</v>
      </c>
      <c r="B11" s="3">
        <v>45829</v>
      </c>
      <c r="C11" t="s">
        <v>25</v>
      </c>
      <c r="D11" t="s">
        <v>58</v>
      </c>
      <c r="E11" s="1" t="s">
        <v>65</v>
      </c>
      <c r="F11" s="4">
        <v>80</v>
      </c>
      <c r="G11" s="7">
        <v>15</v>
      </c>
      <c r="H11" s="8">
        <f t="shared" si="0"/>
        <v>1200</v>
      </c>
      <c r="J11" s="5"/>
    </row>
    <row r="12" spans="1:10" x14ac:dyDescent="0.25">
      <c r="A12" s="1">
        <v>21061</v>
      </c>
      <c r="B12" s="3">
        <v>45830</v>
      </c>
      <c r="C12" t="s">
        <v>27</v>
      </c>
      <c r="D12" t="s">
        <v>59</v>
      </c>
      <c r="E12" s="1" t="s">
        <v>62</v>
      </c>
      <c r="F12" s="4">
        <v>30</v>
      </c>
      <c r="G12" s="7">
        <v>5</v>
      </c>
      <c r="H12" s="8">
        <f t="shared" si="0"/>
        <v>150</v>
      </c>
      <c r="J12" s="5"/>
    </row>
    <row r="13" spans="1:10" x14ac:dyDescent="0.25">
      <c r="A13" s="1">
        <v>21062</v>
      </c>
      <c r="B13" s="3">
        <v>45831</v>
      </c>
      <c r="C13" t="s">
        <v>29</v>
      </c>
      <c r="D13" t="s">
        <v>60</v>
      </c>
      <c r="E13" s="1" t="s">
        <v>64</v>
      </c>
      <c r="F13" s="4">
        <v>32</v>
      </c>
      <c r="G13" s="7">
        <v>2</v>
      </c>
      <c r="H13" s="8">
        <f t="shared" si="0"/>
        <v>64</v>
      </c>
      <c r="J13" s="5"/>
    </row>
    <row r="14" spans="1:10" x14ac:dyDescent="0.25">
      <c r="A14" s="1">
        <v>21063</v>
      </c>
      <c r="B14" s="3">
        <v>45832</v>
      </c>
      <c r="C14" t="s">
        <v>31</v>
      </c>
      <c r="D14" t="s">
        <v>57</v>
      </c>
      <c r="E14" s="1" t="s">
        <v>61</v>
      </c>
      <c r="F14" s="4">
        <v>32</v>
      </c>
      <c r="G14" s="7">
        <v>10</v>
      </c>
      <c r="H14" s="8">
        <f t="shared" si="0"/>
        <v>320</v>
      </c>
      <c r="J14" s="5"/>
    </row>
    <row r="15" spans="1:10" x14ac:dyDescent="0.25">
      <c r="A15" s="1">
        <v>21064</v>
      </c>
      <c r="B15" s="3">
        <v>45833</v>
      </c>
      <c r="C15" t="s">
        <v>33</v>
      </c>
      <c r="D15" t="s">
        <v>58</v>
      </c>
      <c r="E15" s="1" t="s">
        <v>62</v>
      </c>
      <c r="F15" s="4">
        <v>50</v>
      </c>
      <c r="G15" s="7">
        <v>5</v>
      </c>
      <c r="H15" s="8">
        <f t="shared" si="0"/>
        <v>250</v>
      </c>
      <c r="J15" s="5"/>
    </row>
    <row r="16" spans="1:10" x14ac:dyDescent="0.25">
      <c r="A16" s="1">
        <v>21065</v>
      </c>
      <c r="B16" s="3">
        <v>45834</v>
      </c>
      <c r="C16" t="s">
        <v>35</v>
      </c>
      <c r="D16" t="s">
        <v>59</v>
      </c>
      <c r="E16" s="1" t="s">
        <v>65</v>
      </c>
      <c r="F16" s="4">
        <v>98</v>
      </c>
      <c r="G16" s="7">
        <v>15</v>
      </c>
      <c r="H16" s="8">
        <f t="shared" si="0"/>
        <v>1470</v>
      </c>
      <c r="J16" s="5"/>
    </row>
    <row r="17" spans="1:10" x14ac:dyDescent="0.25">
      <c r="A17" s="1">
        <v>21066</v>
      </c>
      <c r="B17" s="3">
        <v>45835</v>
      </c>
      <c r="C17" t="s">
        <v>36</v>
      </c>
      <c r="D17" t="s">
        <v>60</v>
      </c>
      <c r="E17" s="1" t="s">
        <v>63</v>
      </c>
      <c r="F17" s="4">
        <v>65</v>
      </c>
      <c r="G17" s="7">
        <v>20</v>
      </c>
      <c r="H17" s="8">
        <f t="shared" si="0"/>
        <v>1300</v>
      </c>
      <c r="J17" s="5"/>
    </row>
    <row r="18" spans="1:10" x14ac:dyDescent="0.25">
      <c r="A18" s="1">
        <v>21067</v>
      </c>
      <c r="B18" s="3">
        <v>45836</v>
      </c>
      <c r="C18" t="s">
        <v>37</v>
      </c>
      <c r="D18" t="s">
        <v>57</v>
      </c>
      <c r="E18" s="1" t="s">
        <v>62</v>
      </c>
      <c r="F18" s="4">
        <v>35</v>
      </c>
      <c r="G18" s="7">
        <v>5</v>
      </c>
      <c r="H18" s="8">
        <f t="shared" si="0"/>
        <v>175</v>
      </c>
      <c r="J18" s="5"/>
    </row>
    <row r="19" spans="1:10" x14ac:dyDescent="0.25">
      <c r="A19" s="1">
        <v>21068</v>
      </c>
      <c r="B19" s="3">
        <v>45837</v>
      </c>
      <c r="C19" t="s">
        <v>39</v>
      </c>
      <c r="D19" t="s">
        <v>58</v>
      </c>
      <c r="E19" s="1" t="s">
        <v>61</v>
      </c>
      <c r="F19" s="4">
        <v>84</v>
      </c>
      <c r="G19" s="7">
        <v>10</v>
      </c>
      <c r="H19" s="8">
        <f t="shared" si="0"/>
        <v>840</v>
      </c>
      <c r="J19" s="5"/>
    </row>
    <row r="20" spans="1:10" x14ac:dyDescent="0.25">
      <c r="A20" s="1">
        <v>21069</v>
      </c>
      <c r="B20" s="3">
        <v>45838</v>
      </c>
      <c r="C20" t="s">
        <v>41</v>
      </c>
      <c r="D20" t="s">
        <v>59</v>
      </c>
      <c r="E20" s="1" t="s">
        <v>66</v>
      </c>
      <c r="F20" s="4">
        <v>51</v>
      </c>
      <c r="G20" s="7">
        <v>6</v>
      </c>
      <c r="H20" s="8">
        <f t="shared" si="0"/>
        <v>306</v>
      </c>
      <c r="J20" s="5"/>
    </row>
    <row r="21" spans="1:10" x14ac:dyDescent="0.25">
      <c r="A21" s="1">
        <v>21070</v>
      </c>
      <c r="B21" s="3">
        <v>45839</v>
      </c>
      <c r="C21" t="s">
        <v>43</v>
      </c>
      <c r="D21" t="s">
        <v>60</v>
      </c>
      <c r="E21" s="1" t="s">
        <v>62</v>
      </c>
      <c r="F21" s="4">
        <v>68</v>
      </c>
      <c r="G21" s="7">
        <v>5</v>
      </c>
      <c r="H21" s="8">
        <f t="shared" si="0"/>
        <v>340</v>
      </c>
      <c r="J21" s="5"/>
    </row>
    <row r="22" spans="1:10" x14ac:dyDescent="0.25">
      <c r="A22" s="1">
        <v>21071</v>
      </c>
      <c r="B22" s="3">
        <v>45840</v>
      </c>
      <c r="C22" t="s">
        <v>45</v>
      </c>
      <c r="D22" t="s">
        <v>57</v>
      </c>
      <c r="E22" s="1" t="s">
        <v>64</v>
      </c>
      <c r="F22" s="4">
        <v>25</v>
      </c>
      <c r="G22" s="7">
        <v>2</v>
      </c>
      <c r="H22" s="8">
        <f t="shared" si="0"/>
        <v>50</v>
      </c>
      <c r="J22" s="5"/>
    </row>
    <row r="23" spans="1:10" x14ac:dyDescent="0.25">
      <c r="A23" s="1">
        <v>21072</v>
      </c>
      <c r="B23" s="3">
        <v>45841</v>
      </c>
      <c r="C23" t="s">
        <v>47</v>
      </c>
      <c r="D23" t="s">
        <v>58</v>
      </c>
      <c r="E23" s="1" t="s">
        <v>64</v>
      </c>
      <c r="F23" s="4">
        <v>95</v>
      </c>
      <c r="G23" s="7">
        <v>2</v>
      </c>
      <c r="H23" s="8">
        <f t="shared" si="0"/>
        <v>190</v>
      </c>
      <c r="J23" s="5"/>
    </row>
    <row r="24" spans="1:10" x14ac:dyDescent="0.25">
      <c r="A24" s="1">
        <v>21073</v>
      </c>
      <c r="B24" s="3">
        <v>45842</v>
      </c>
      <c r="C24" t="s">
        <v>49</v>
      </c>
      <c r="D24" t="s">
        <v>59</v>
      </c>
      <c r="E24" s="1" t="s">
        <v>66</v>
      </c>
      <c r="F24" s="4">
        <v>25</v>
      </c>
      <c r="G24" s="7">
        <v>6</v>
      </c>
      <c r="H24" s="8">
        <f t="shared" si="0"/>
        <v>150</v>
      </c>
      <c r="J24" s="5"/>
    </row>
    <row r="25" spans="1:10" x14ac:dyDescent="0.25">
      <c r="A25" s="1">
        <v>21074</v>
      </c>
      <c r="B25" s="3">
        <v>45843</v>
      </c>
      <c r="C25" t="s">
        <v>51</v>
      </c>
      <c r="D25" t="s">
        <v>60</v>
      </c>
      <c r="E25" s="1" t="s">
        <v>61</v>
      </c>
      <c r="F25" s="4">
        <v>62</v>
      </c>
      <c r="G25" s="7">
        <v>10</v>
      </c>
      <c r="H25" s="8">
        <f t="shared" si="0"/>
        <v>620</v>
      </c>
      <c r="J25" s="5"/>
    </row>
    <row r="26" spans="1:10" x14ac:dyDescent="0.25">
      <c r="A26" s="1">
        <v>21075</v>
      </c>
      <c r="B26" s="3">
        <v>45844</v>
      </c>
      <c r="C26" t="s">
        <v>52</v>
      </c>
      <c r="D26" t="s">
        <v>57</v>
      </c>
      <c r="E26" s="1" t="s">
        <v>62</v>
      </c>
      <c r="F26" s="4">
        <v>35</v>
      </c>
      <c r="G26" s="7">
        <v>5</v>
      </c>
      <c r="H26" s="8">
        <f t="shared" si="0"/>
        <v>175</v>
      </c>
      <c r="J26" s="5"/>
    </row>
    <row r="27" spans="1:10" x14ac:dyDescent="0.25">
      <c r="A27" s="1">
        <v>21076</v>
      </c>
      <c r="B27" s="3">
        <v>45845</v>
      </c>
      <c r="C27" t="s">
        <v>52</v>
      </c>
      <c r="D27" t="s">
        <v>58</v>
      </c>
      <c r="E27" s="1" t="s">
        <v>63</v>
      </c>
      <c r="F27" s="4">
        <v>69</v>
      </c>
      <c r="G27" s="7">
        <v>20</v>
      </c>
      <c r="H27" s="8">
        <f t="shared" si="0"/>
        <v>1380</v>
      </c>
      <c r="J27" s="5"/>
    </row>
    <row r="28" spans="1:10" x14ac:dyDescent="0.25">
      <c r="A28" s="1">
        <v>21077</v>
      </c>
      <c r="B28" s="3">
        <v>45846</v>
      </c>
      <c r="C28" t="s">
        <v>9</v>
      </c>
      <c r="D28" t="s">
        <v>59</v>
      </c>
      <c r="E28" s="1" t="s">
        <v>64</v>
      </c>
      <c r="F28" s="4">
        <v>25</v>
      </c>
      <c r="G28" s="7">
        <v>2</v>
      </c>
      <c r="H28" s="8">
        <f t="shared" si="0"/>
        <v>50</v>
      </c>
      <c r="J28" s="5"/>
    </row>
    <row r="29" spans="1:10" x14ac:dyDescent="0.25">
      <c r="A29" s="1">
        <v>21078</v>
      </c>
      <c r="B29" s="3">
        <v>45847</v>
      </c>
      <c r="C29" t="s">
        <v>11</v>
      </c>
      <c r="D29" t="s">
        <v>60</v>
      </c>
      <c r="E29" s="1" t="s">
        <v>66</v>
      </c>
      <c r="F29" s="4">
        <v>36</v>
      </c>
      <c r="G29" s="7">
        <v>6</v>
      </c>
      <c r="H29" s="8">
        <f t="shared" si="0"/>
        <v>216</v>
      </c>
      <c r="J29" s="5"/>
    </row>
    <row r="30" spans="1:10" x14ac:dyDescent="0.25">
      <c r="A30" s="1">
        <v>21079</v>
      </c>
      <c r="B30" s="3">
        <v>45848</v>
      </c>
      <c r="C30" t="s">
        <v>13</v>
      </c>
      <c r="D30" t="s">
        <v>57</v>
      </c>
      <c r="E30" s="1" t="s">
        <v>64</v>
      </c>
      <c r="F30" s="4">
        <v>54</v>
      </c>
      <c r="G30" s="7">
        <v>2</v>
      </c>
      <c r="H30" s="8">
        <f t="shared" si="0"/>
        <v>108</v>
      </c>
      <c r="J30" s="5"/>
    </row>
    <row r="31" spans="1:10" x14ac:dyDescent="0.25">
      <c r="A31" s="1">
        <v>21080</v>
      </c>
      <c r="B31" s="3">
        <v>45849</v>
      </c>
      <c r="C31" t="s">
        <v>15</v>
      </c>
      <c r="D31" t="s">
        <v>58</v>
      </c>
      <c r="E31" s="1" t="s">
        <v>65</v>
      </c>
      <c r="F31" s="4">
        <v>48</v>
      </c>
      <c r="G31" s="7">
        <v>15</v>
      </c>
      <c r="H31" s="8">
        <f t="shared" si="0"/>
        <v>720</v>
      </c>
      <c r="J31" s="5"/>
    </row>
    <row r="32" spans="1:10" x14ac:dyDescent="0.25">
      <c r="A32" s="1">
        <v>21081</v>
      </c>
      <c r="B32" s="3">
        <v>45850</v>
      </c>
      <c r="C32" t="s">
        <v>17</v>
      </c>
      <c r="D32" t="s">
        <v>59</v>
      </c>
      <c r="E32" s="1" t="s">
        <v>61</v>
      </c>
      <c r="F32" s="4">
        <v>82</v>
      </c>
      <c r="G32" s="7">
        <v>10</v>
      </c>
      <c r="H32" s="8">
        <f t="shared" si="0"/>
        <v>820</v>
      </c>
      <c r="J32" s="5"/>
    </row>
    <row r="33" spans="1:10" x14ac:dyDescent="0.25">
      <c r="A33" s="1">
        <v>21082</v>
      </c>
      <c r="B33" s="3">
        <v>45851</v>
      </c>
      <c r="C33" t="s">
        <v>19</v>
      </c>
      <c r="D33" t="s">
        <v>60</v>
      </c>
      <c r="E33" s="1" t="s">
        <v>63</v>
      </c>
      <c r="F33" s="4">
        <v>62</v>
      </c>
      <c r="G33" s="7">
        <v>20</v>
      </c>
      <c r="H33" s="8">
        <f t="shared" si="0"/>
        <v>1240</v>
      </c>
      <c r="J33" s="5"/>
    </row>
    <row r="34" spans="1:10" x14ac:dyDescent="0.25">
      <c r="A34" s="1">
        <v>21083</v>
      </c>
      <c r="B34" s="3">
        <v>45852</v>
      </c>
      <c r="C34" t="s">
        <v>56</v>
      </c>
      <c r="D34" t="s">
        <v>57</v>
      </c>
      <c r="E34" s="1" t="s">
        <v>64</v>
      </c>
      <c r="F34" s="4">
        <v>38</v>
      </c>
      <c r="G34" s="7">
        <v>2</v>
      </c>
      <c r="H34" s="8">
        <f t="shared" si="0"/>
        <v>76</v>
      </c>
      <c r="J34" s="5"/>
    </row>
    <row r="35" spans="1:10" x14ac:dyDescent="0.25">
      <c r="A35" s="1">
        <v>21084</v>
      </c>
      <c r="B35" s="3">
        <v>45853</v>
      </c>
      <c r="C35" t="s">
        <v>22</v>
      </c>
      <c r="D35" t="s">
        <v>58</v>
      </c>
      <c r="E35" s="1" t="s">
        <v>61</v>
      </c>
      <c r="F35" s="4">
        <v>75</v>
      </c>
      <c r="G35" s="7">
        <v>10</v>
      </c>
      <c r="H35" s="8">
        <f t="shared" si="0"/>
        <v>750</v>
      </c>
      <c r="J35" s="5"/>
    </row>
    <row r="36" spans="1:10" x14ac:dyDescent="0.25">
      <c r="A36" s="1">
        <v>21085</v>
      </c>
      <c r="B36" s="3">
        <v>45854</v>
      </c>
      <c r="C36" t="s">
        <v>24</v>
      </c>
      <c r="D36" t="s">
        <v>59</v>
      </c>
      <c r="E36" s="1" t="s">
        <v>62</v>
      </c>
      <c r="F36" s="4">
        <v>65</v>
      </c>
      <c r="G36" s="7">
        <v>5</v>
      </c>
      <c r="H36" s="8">
        <f t="shared" si="0"/>
        <v>325</v>
      </c>
      <c r="J36" s="5"/>
    </row>
    <row r="37" spans="1:10" x14ac:dyDescent="0.25">
      <c r="A37" s="1">
        <v>21086</v>
      </c>
      <c r="B37" s="3">
        <v>45855</v>
      </c>
      <c r="C37" t="s">
        <v>26</v>
      </c>
      <c r="D37" t="s">
        <v>60</v>
      </c>
      <c r="E37" s="1" t="s">
        <v>62</v>
      </c>
      <c r="F37" s="4">
        <v>58</v>
      </c>
      <c r="G37" s="7">
        <v>5</v>
      </c>
      <c r="H37" s="8">
        <f t="shared" si="0"/>
        <v>290</v>
      </c>
      <c r="J37" s="5"/>
    </row>
    <row r="38" spans="1:10" x14ac:dyDescent="0.25">
      <c r="A38" s="1">
        <v>21087</v>
      </c>
      <c r="B38" s="3">
        <v>45856</v>
      </c>
      <c r="C38" t="s">
        <v>28</v>
      </c>
      <c r="D38" t="s">
        <v>57</v>
      </c>
      <c r="E38" s="1" t="s">
        <v>61</v>
      </c>
      <c r="F38" s="4">
        <v>24</v>
      </c>
      <c r="G38" s="7">
        <v>10</v>
      </c>
      <c r="H38" s="8">
        <f t="shared" si="0"/>
        <v>240</v>
      </c>
      <c r="J38" s="5"/>
    </row>
    <row r="39" spans="1:10" x14ac:dyDescent="0.25">
      <c r="A39" s="1">
        <v>21088</v>
      </c>
      <c r="B39" s="3">
        <v>45857</v>
      </c>
      <c r="C39" t="s">
        <v>30</v>
      </c>
      <c r="D39" t="s">
        <v>58</v>
      </c>
      <c r="E39" s="1" t="s">
        <v>63</v>
      </c>
      <c r="F39" s="4">
        <v>62</v>
      </c>
      <c r="G39" s="7">
        <v>20</v>
      </c>
      <c r="H39" s="8">
        <f t="shared" si="0"/>
        <v>1240</v>
      </c>
      <c r="J39" s="5"/>
    </row>
    <row r="40" spans="1:10" x14ac:dyDescent="0.25">
      <c r="A40" s="1">
        <v>21089</v>
      </c>
      <c r="B40" s="3">
        <v>45858</v>
      </c>
      <c r="C40" t="s">
        <v>32</v>
      </c>
      <c r="D40" t="s">
        <v>59</v>
      </c>
      <c r="E40" s="1" t="s">
        <v>64</v>
      </c>
      <c r="F40" s="4">
        <v>62</v>
      </c>
      <c r="G40" s="7">
        <v>2</v>
      </c>
      <c r="H40" s="8">
        <f t="shared" si="0"/>
        <v>124</v>
      </c>
      <c r="J40" s="5"/>
    </row>
    <row r="41" spans="1:10" x14ac:dyDescent="0.25">
      <c r="A41" s="1">
        <v>21090</v>
      </c>
      <c r="B41" s="3">
        <v>45859</v>
      </c>
      <c r="C41" t="s">
        <v>34</v>
      </c>
      <c r="D41" t="s">
        <v>60</v>
      </c>
      <c r="E41" s="1" t="s">
        <v>66</v>
      </c>
      <c r="F41" s="4">
        <v>98</v>
      </c>
      <c r="G41" s="7">
        <v>6</v>
      </c>
      <c r="H41" s="8">
        <f t="shared" si="0"/>
        <v>588</v>
      </c>
      <c r="J41" s="5"/>
    </row>
    <row r="42" spans="1:10" x14ac:dyDescent="0.25">
      <c r="A42" s="1">
        <v>21091</v>
      </c>
      <c r="B42" s="3">
        <v>45860</v>
      </c>
      <c r="C42" t="s">
        <v>55</v>
      </c>
      <c r="D42" t="s">
        <v>57</v>
      </c>
      <c r="E42" s="1" t="s">
        <v>62</v>
      </c>
      <c r="F42" s="4">
        <v>80</v>
      </c>
      <c r="G42" s="7">
        <v>5</v>
      </c>
      <c r="H42" s="8">
        <f t="shared" si="0"/>
        <v>400</v>
      </c>
      <c r="J42" s="5"/>
    </row>
    <row r="43" spans="1:10" x14ac:dyDescent="0.25">
      <c r="A43" s="1">
        <v>21092</v>
      </c>
      <c r="B43" s="3">
        <v>45861</v>
      </c>
      <c r="C43" t="s">
        <v>54</v>
      </c>
      <c r="D43" t="s">
        <v>58</v>
      </c>
      <c r="E43" s="1" t="s">
        <v>63</v>
      </c>
      <c r="F43" s="4">
        <v>50</v>
      </c>
      <c r="H43" s="8">
        <f t="shared" si="0"/>
        <v>0</v>
      </c>
      <c r="J43" s="5"/>
    </row>
    <row r="44" spans="1:10" x14ac:dyDescent="0.25">
      <c r="A44" s="1">
        <v>21093</v>
      </c>
      <c r="B44" s="3">
        <v>45862</v>
      </c>
      <c r="C44" t="s">
        <v>38</v>
      </c>
      <c r="D44" t="s">
        <v>59</v>
      </c>
      <c r="E44" s="1" t="s">
        <v>64</v>
      </c>
      <c r="F44" s="4">
        <v>61</v>
      </c>
      <c r="G44" s="7">
        <v>2</v>
      </c>
      <c r="H44" s="8">
        <f t="shared" si="0"/>
        <v>122</v>
      </c>
      <c r="J44" s="5"/>
    </row>
    <row r="45" spans="1:10" x14ac:dyDescent="0.25">
      <c r="A45" s="1">
        <v>21094</v>
      </c>
      <c r="B45" s="3">
        <v>45863</v>
      </c>
      <c r="C45" t="s">
        <v>40</v>
      </c>
      <c r="D45" t="s">
        <v>60</v>
      </c>
      <c r="E45" s="1" t="s">
        <v>65</v>
      </c>
      <c r="F45" s="4">
        <v>20</v>
      </c>
      <c r="G45" s="7">
        <v>15</v>
      </c>
      <c r="H45" s="8">
        <f t="shared" si="0"/>
        <v>300</v>
      </c>
      <c r="J45" s="5"/>
    </row>
    <row r="46" spans="1:10" x14ac:dyDescent="0.25">
      <c r="A46" s="1">
        <v>21095</v>
      </c>
      <c r="B46" s="3">
        <v>45864</v>
      </c>
      <c r="C46" t="s">
        <v>42</v>
      </c>
      <c r="D46" t="s">
        <v>57</v>
      </c>
      <c r="E46" s="1" t="s">
        <v>61</v>
      </c>
      <c r="F46" s="4">
        <v>36</v>
      </c>
      <c r="G46" s="7">
        <v>10</v>
      </c>
      <c r="H46" s="8">
        <f t="shared" si="0"/>
        <v>360</v>
      </c>
      <c r="J46" s="5"/>
    </row>
    <row r="47" spans="1:10" x14ac:dyDescent="0.25">
      <c r="A47" s="1">
        <v>21096</v>
      </c>
      <c r="B47" s="3">
        <v>45865</v>
      </c>
      <c r="C47" t="s">
        <v>44</v>
      </c>
      <c r="D47" t="s">
        <v>58</v>
      </c>
      <c r="E47" s="1" t="s">
        <v>62</v>
      </c>
      <c r="F47" s="4">
        <v>56</v>
      </c>
      <c r="G47" s="7">
        <v>5</v>
      </c>
      <c r="H47" s="8">
        <f t="shared" si="0"/>
        <v>280</v>
      </c>
      <c r="J47" s="5"/>
    </row>
    <row r="48" spans="1:10" x14ac:dyDescent="0.25">
      <c r="A48" s="1">
        <v>21097</v>
      </c>
      <c r="B48" s="3">
        <v>45866</v>
      </c>
      <c r="C48" t="s">
        <v>46</v>
      </c>
      <c r="D48" t="s">
        <v>59</v>
      </c>
      <c r="E48" s="1" t="s">
        <v>66</v>
      </c>
      <c r="F48" s="4">
        <v>13</v>
      </c>
      <c r="G48" s="7">
        <v>15</v>
      </c>
      <c r="H48" s="8">
        <f t="shared" si="0"/>
        <v>195</v>
      </c>
      <c r="J48" s="5"/>
    </row>
    <row r="49" spans="1:10" x14ac:dyDescent="0.25">
      <c r="A49" s="1">
        <v>21098</v>
      </c>
      <c r="B49" s="3">
        <v>45867</v>
      </c>
      <c r="C49" t="s">
        <v>48</v>
      </c>
      <c r="D49" t="s">
        <v>60</v>
      </c>
      <c r="E49" s="1" t="s">
        <v>64</v>
      </c>
      <c r="F49" s="4">
        <v>51</v>
      </c>
      <c r="G49" s="7">
        <v>10</v>
      </c>
      <c r="H49" s="8">
        <f t="shared" si="0"/>
        <v>510</v>
      </c>
      <c r="J49" s="5"/>
    </row>
    <row r="50" spans="1:10" x14ac:dyDescent="0.25">
      <c r="A50" s="1">
        <v>21099</v>
      </c>
      <c r="B50" s="3">
        <v>45868</v>
      </c>
      <c r="C50" t="s">
        <v>50</v>
      </c>
      <c r="D50" t="s">
        <v>57</v>
      </c>
      <c r="E50" s="1" t="s">
        <v>62</v>
      </c>
      <c r="F50" s="4">
        <v>54</v>
      </c>
      <c r="G50" s="7">
        <v>5</v>
      </c>
      <c r="H50" s="8">
        <f t="shared" si="0"/>
        <v>270</v>
      </c>
      <c r="J50" s="5"/>
    </row>
    <row r="51" spans="1:10" x14ac:dyDescent="0.25">
      <c r="A51" s="1">
        <v>21100</v>
      </c>
      <c r="B51" s="3">
        <v>45869</v>
      </c>
      <c r="C51" t="s">
        <v>53</v>
      </c>
      <c r="D51" t="s">
        <v>58</v>
      </c>
      <c r="E51" s="1" t="s">
        <v>61</v>
      </c>
      <c r="F51" s="4">
        <v>56</v>
      </c>
      <c r="G51" s="7">
        <v>10</v>
      </c>
      <c r="H51" s="8">
        <f t="shared" si="0"/>
        <v>560</v>
      </c>
    </row>
    <row r="52" spans="1:10" ht="18" x14ac:dyDescent="0.25">
      <c r="A52" s="1"/>
      <c r="B52" s="3"/>
      <c r="J52" s="6"/>
    </row>
    <row r="53" spans="1:10" x14ac:dyDescent="0.25">
      <c r="A53" s="1"/>
      <c r="B53" s="3"/>
      <c r="J53" s="5"/>
    </row>
    <row r="54" spans="1:10" x14ac:dyDescent="0.25">
      <c r="A54" s="1"/>
      <c r="B54" s="3"/>
      <c r="J54" s="5"/>
    </row>
    <row r="55" spans="1:10" x14ac:dyDescent="0.25">
      <c r="A55" s="1"/>
      <c r="B55" s="3"/>
      <c r="J55" s="5"/>
    </row>
    <row r="56" spans="1:10" x14ac:dyDescent="0.25">
      <c r="A56" s="1"/>
      <c r="B56" s="3"/>
      <c r="J56" s="5"/>
    </row>
    <row r="57" spans="1:10" x14ac:dyDescent="0.25">
      <c r="A57" s="1"/>
      <c r="B57" s="3"/>
      <c r="J57" s="5"/>
    </row>
    <row r="58" spans="1:10" x14ac:dyDescent="0.25">
      <c r="A58" s="1"/>
      <c r="B58" s="3"/>
      <c r="J58" s="5"/>
    </row>
    <row r="59" spans="1:10" x14ac:dyDescent="0.25">
      <c r="A59" s="1"/>
      <c r="B59" s="3"/>
      <c r="J59" s="5"/>
    </row>
    <row r="60" spans="1:10" x14ac:dyDescent="0.25">
      <c r="A60" s="1"/>
      <c r="B60" s="3"/>
      <c r="J60" s="5"/>
    </row>
    <row r="61" spans="1:10" x14ac:dyDescent="0.25">
      <c r="J61" s="5"/>
    </row>
    <row r="62" spans="1:10" x14ac:dyDescent="0.25">
      <c r="J62" s="5"/>
    </row>
    <row r="63" spans="1:10" x14ac:dyDescent="0.25">
      <c r="J63" s="5"/>
    </row>
    <row r="64" spans="1:10" x14ac:dyDescent="0.25">
      <c r="J64" s="5"/>
    </row>
    <row r="65" spans="10:10" x14ac:dyDescent="0.25">
      <c r="J65" s="5"/>
    </row>
    <row r="66" spans="10:10" x14ac:dyDescent="0.25">
      <c r="J66" s="5"/>
    </row>
    <row r="67" spans="10:10" x14ac:dyDescent="0.25">
      <c r="J67" s="5"/>
    </row>
    <row r="68" spans="10:10" x14ac:dyDescent="0.25">
      <c r="J68" s="5"/>
    </row>
    <row r="69" spans="10:10" x14ac:dyDescent="0.25">
      <c r="J69" s="5"/>
    </row>
    <row r="70" spans="10:10" x14ac:dyDescent="0.25">
      <c r="J70" s="5"/>
    </row>
    <row r="71" spans="10:10" x14ac:dyDescent="0.25">
      <c r="J71" s="5"/>
    </row>
    <row r="72" spans="10:10" x14ac:dyDescent="0.25">
      <c r="J72" s="5"/>
    </row>
    <row r="73" spans="10:10" x14ac:dyDescent="0.25">
      <c r="J73" s="5"/>
    </row>
    <row r="74" spans="10:10" x14ac:dyDescent="0.25">
      <c r="J74" s="5"/>
    </row>
    <row r="75" spans="10:10" x14ac:dyDescent="0.25">
      <c r="J75" s="5"/>
    </row>
    <row r="76" spans="10:10" x14ac:dyDescent="0.25">
      <c r="J76" s="5"/>
    </row>
    <row r="77" spans="10:10" x14ac:dyDescent="0.25">
      <c r="J77" s="5"/>
    </row>
    <row r="78" spans="10:10" x14ac:dyDescent="0.25">
      <c r="J78" s="5"/>
    </row>
    <row r="79" spans="10:10" x14ac:dyDescent="0.25">
      <c r="J79" s="5"/>
    </row>
    <row r="80" spans="10:10" x14ac:dyDescent="0.25">
      <c r="J80" s="5"/>
    </row>
    <row r="81" spans="10:10" x14ac:dyDescent="0.25">
      <c r="J81" s="5"/>
    </row>
    <row r="82" spans="10:10" x14ac:dyDescent="0.25">
      <c r="J82" s="5"/>
    </row>
    <row r="83" spans="10:10" x14ac:dyDescent="0.25">
      <c r="J83" s="5"/>
    </row>
    <row r="84" spans="10:10" x14ac:dyDescent="0.25">
      <c r="J84" s="5"/>
    </row>
    <row r="85" spans="10:10" x14ac:dyDescent="0.25">
      <c r="J85" s="5"/>
    </row>
    <row r="86" spans="10:10" x14ac:dyDescent="0.25">
      <c r="J86" s="5"/>
    </row>
    <row r="87" spans="10:10" x14ac:dyDescent="0.25">
      <c r="J87" s="5"/>
    </row>
    <row r="88" spans="10:10" x14ac:dyDescent="0.25">
      <c r="J88" s="5"/>
    </row>
    <row r="89" spans="10:10" x14ac:dyDescent="0.25">
      <c r="J89" s="5"/>
    </row>
    <row r="90" spans="10:10" x14ac:dyDescent="0.25">
      <c r="J90" s="5"/>
    </row>
    <row r="91" spans="10:10" x14ac:dyDescent="0.25">
      <c r="J91" s="5"/>
    </row>
    <row r="92" spans="10:10" x14ac:dyDescent="0.25">
      <c r="J92" s="5"/>
    </row>
    <row r="93" spans="10:10" x14ac:dyDescent="0.25">
      <c r="J93" s="5"/>
    </row>
    <row r="94" spans="10:10" x14ac:dyDescent="0.25">
      <c r="J94" s="5"/>
    </row>
    <row r="95" spans="10:10" x14ac:dyDescent="0.25">
      <c r="J95" s="5"/>
    </row>
    <row r="96" spans="10:10" x14ac:dyDescent="0.25">
      <c r="J96" s="5"/>
    </row>
    <row r="97" spans="10:10" x14ac:dyDescent="0.25">
      <c r="J97" s="5"/>
    </row>
    <row r="98" spans="10:10" x14ac:dyDescent="0.25">
      <c r="J98" s="5"/>
    </row>
    <row r="99" spans="10:10" x14ac:dyDescent="0.25">
      <c r="J99" s="5"/>
    </row>
    <row r="100" spans="10:10" x14ac:dyDescent="0.25">
      <c r="J100" s="5"/>
    </row>
    <row r="101" spans="10:10" x14ac:dyDescent="0.25">
      <c r="J101" s="5"/>
    </row>
    <row r="102" spans="10:10" x14ac:dyDescent="0.25">
      <c r="J102"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15AC5-FE11-4B14-8632-E7C946F4C9DB}">
  <dimension ref="A1:R13"/>
  <sheetViews>
    <sheetView workbookViewId="0">
      <selection activeCell="V9" sqref="V9"/>
    </sheetView>
  </sheetViews>
  <sheetFormatPr defaultRowHeight="15" x14ac:dyDescent="0.25"/>
  <cols>
    <col min="1" max="2" width="13.140625" bestFit="1" customWidth="1"/>
    <col min="4" max="4" width="13.140625" bestFit="1" customWidth="1"/>
    <col min="8" max="8" width="13.140625" bestFit="1" customWidth="1"/>
    <col min="9" max="9" width="14.85546875" bestFit="1" customWidth="1"/>
    <col min="11" max="11" width="13.140625" bestFit="1" customWidth="1"/>
    <col min="12" max="12" width="14.85546875" bestFit="1" customWidth="1"/>
    <col min="14" max="14" width="13.140625" bestFit="1" customWidth="1"/>
    <col min="15" max="15" width="14.85546875" bestFit="1" customWidth="1"/>
    <col min="17" max="17" width="16.28515625" bestFit="1" customWidth="1"/>
  </cols>
  <sheetData>
    <row r="1" spans="1:18" x14ac:dyDescent="0.25">
      <c r="A1" s="15" t="s">
        <v>67</v>
      </c>
      <c r="B1" s="15" t="s">
        <v>67</v>
      </c>
      <c r="D1" s="15" t="s">
        <v>67</v>
      </c>
      <c r="H1" s="15" t="s">
        <v>67</v>
      </c>
      <c r="I1" t="s">
        <v>71</v>
      </c>
    </row>
    <row r="2" spans="1:18" x14ac:dyDescent="0.25">
      <c r="A2" s="1" t="s">
        <v>69</v>
      </c>
      <c r="B2" s="1" t="s">
        <v>59</v>
      </c>
      <c r="D2" s="1" t="s">
        <v>65</v>
      </c>
      <c r="H2" s="1" t="s">
        <v>59</v>
      </c>
      <c r="I2" s="16">
        <v>5352</v>
      </c>
      <c r="K2" s="15" t="s">
        <v>67</v>
      </c>
      <c r="L2" t="s">
        <v>71</v>
      </c>
    </row>
    <row r="3" spans="1:18" x14ac:dyDescent="0.25">
      <c r="A3" s="1" t="s">
        <v>70</v>
      </c>
      <c r="B3" s="1" t="s">
        <v>57</v>
      </c>
      <c r="D3" s="1" t="s">
        <v>63</v>
      </c>
      <c r="H3" s="1" t="s">
        <v>57</v>
      </c>
      <c r="I3" s="16">
        <v>3674</v>
      </c>
      <c r="K3" s="1" t="s">
        <v>70</v>
      </c>
      <c r="L3" s="16">
        <v>12689</v>
      </c>
    </row>
    <row r="4" spans="1:18" x14ac:dyDescent="0.25">
      <c r="A4" s="1" t="s">
        <v>68</v>
      </c>
      <c r="B4" s="1" t="s">
        <v>58</v>
      </c>
      <c r="D4" s="1" t="s">
        <v>61</v>
      </c>
      <c r="H4" s="1" t="s">
        <v>58</v>
      </c>
      <c r="I4" s="16">
        <v>7785</v>
      </c>
      <c r="K4" s="1" t="s">
        <v>69</v>
      </c>
      <c r="L4" s="16">
        <v>10644</v>
      </c>
      <c r="Q4" t="s">
        <v>72</v>
      </c>
    </row>
    <row r="5" spans="1:18" x14ac:dyDescent="0.25">
      <c r="B5" s="1" t="s">
        <v>60</v>
      </c>
      <c r="D5" s="1" t="s">
        <v>64</v>
      </c>
      <c r="H5" s="1" t="s">
        <v>60</v>
      </c>
      <c r="I5" s="16">
        <v>6522</v>
      </c>
      <c r="K5" s="1" t="s">
        <v>68</v>
      </c>
      <c r="L5" s="16">
        <v>23333</v>
      </c>
      <c r="Q5" s="16">
        <v>50</v>
      </c>
      <c r="R5">
        <f>GETPIVOTDATA("Amount",$Q$4)</f>
        <v>50</v>
      </c>
    </row>
    <row r="6" spans="1:18" x14ac:dyDescent="0.25">
      <c r="B6" s="1" t="s">
        <v>68</v>
      </c>
      <c r="D6" s="1" t="s">
        <v>62</v>
      </c>
      <c r="H6" s="1" t="s">
        <v>68</v>
      </c>
      <c r="I6" s="16">
        <v>23333</v>
      </c>
      <c r="N6" s="15" t="s">
        <v>67</v>
      </c>
      <c r="O6" t="s">
        <v>71</v>
      </c>
    </row>
    <row r="7" spans="1:18" x14ac:dyDescent="0.25">
      <c r="D7" s="1" t="s">
        <v>66</v>
      </c>
      <c r="N7" s="1" t="s">
        <v>65</v>
      </c>
      <c r="O7" s="16">
        <v>4620</v>
      </c>
    </row>
    <row r="8" spans="1:18" x14ac:dyDescent="0.25">
      <c r="D8" s="1" t="s">
        <v>68</v>
      </c>
      <c r="N8" s="1" t="s">
        <v>63</v>
      </c>
      <c r="O8" s="16">
        <v>7440</v>
      </c>
    </row>
    <row r="9" spans="1:18" x14ac:dyDescent="0.25">
      <c r="N9" s="1" t="s">
        <v>61</v>
      </c>
      <c r="O9" s="16">
        <v>5110</v>
      </c>
    </row>
    <row r="10" spans="1:18" x14ac:dyDescent="0.25">
      <c r="N10" s="1" t="s">
        <v>64</v>
      </c>
      <c r="O10" s="16">
        <v>1418</v>
      </c>
    </row>
    <row r="11" spans="1:18" x14ac:dyDescent="0.25">
      <c r="N11" s="1" t="s">
        <v>62</v>
      </c>
      <c r="O11" s="16">
        <v>3290</v>
      </c>
      <c r="Q11" t="s">
        <v>71</v>
      </c>
    </row>
    <row r="12" spans="1:18" x14ac:dyDescent="0.25">
      <c r="N12" s="1" t="s">
        <v>66</v>
      </c>
      <c r="O12" s="16">
        <v>1455</v>
      </c>
      <c r="Q12" s="16">
        <v>23333</v>
      </c>
      <c r="R12" s="17">
        <f>GETPIVOTDATA("Amount",$Q$11)</f>
        <v>23333</v>
      </c>
    </row>
    <row r="13" spans="1:18" x14ac:dyDescent="0.25">
      <c r="N13" s="1" t="s">
        <v>68</v>
      </c>
      <c r="O13" s="16">
        <v>23333</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E49D-11F0-483D-AA9E-55E4AE1C29C8}">
  <dimension ref="A1"/>
  <sheetViews>
    <sheetView showGridLines="0" showRowColHeaders="0" tabSelected="1" workbookViewId="0">
      <selection activeCell="V9" sqref="V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MMC</dc:creator>
  <cp:lastModifiedBy>MMC</cp:lastModifiedBy>
  <dcterms:created xsi:type="dcterms:W3CDTF">2026-03-27T09:54:46Z</dcterms:created>
  <dcterms:modified xsi:type="dcterms:W3CDTF">2026-03-27T13:08:40Z</dcterms:modified>
</cp:coreProperties>
</file>